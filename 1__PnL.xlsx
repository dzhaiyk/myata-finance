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akedaurenbekov/Мой диск/Business/Мята/2. Бухгалтерия/1. ОПиУ и ДДС/"/>
    </mc:Choice>
  </mc:AlternateContent>
  <xr:revisionPtr revIDLastSave="0" documentId="13_ncr:1_{B25C1E83-E931-7447-8914-5B7E1F35DFFA}" xr6:coauthVersionLast="47" xr6:coauthVersionMax="47" xr10:uidLastSave="{00000000-0000-0000-0000-000000000000}"/>
  <bookViews>
    <workbookView xWindow="0" yWindow="660" windowWidth="30240" windowHeight="17780" tabRatio="500" activeTab="4" xr2:uid="{00000000-000D-0000-FFFF-FFFF00000000}"/>
  </bookViews>
  <sheets>
    <sheet name="PnL" sheetId="2" r:id="rId1"/>
    <sheet name="PnL_2022" sheetId="3" r:id="rId2"/>
    <sheet name="PnL_2023" sheetId="4" r:id="rId3"/>
    <sheet name="PnL_2024" sheetId="5" r:id="rId4"/>
    <sheet name="PnL_2025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1" i="6" l="1"/>
  <c r="Q31" i="6"/>
  <c r="P32" i="6"/>
  <c r="Q32" i="6"/>
  <c r="I27" i="6"/>
  <c r="O47" i="6"/>
  <c r="N47" i="6"/>
  <c r="L11" i="6"/>
  <c r="N26" i="6" l="1"/>
  <c r="M24" i="6" l="1"/>
  <c r="M26" i="6"/>
  <c r="L26" i="6" l="1"/>
  <c r="D26" i="6" l="1"/>
  <c r="F22" i="5" l="1"/>
  <c r="G22" i="5"/>
  <c r="H22" i="5"/>
  <c r="I22" i="5"/>
  <c r="J22" i="5"/>
  <c r="K22" i="5"/>
  <c r="L22" i="5"/>
  <c r="M22" i="5"/>
  <c r="N22" i="5"/>
  <c r="O22" i="5"/>
  <c r="E22" i="5"/>
  <c r="D22" i="5"/>
  <c r="O70" i="5" l="1"/>
  <c r="N70" i="5"/>
  <c r="M70" i="5"/>
  <c r="L70" i="5"/>
  <c r="K70" i="5"/>
  <c r="J70" i="5"/>
  <c r="I70" i="5"/>
  <c r="H70" i="5"/>
  <c r="G70" i="5"/>
  <c r="F70" i="5"/>
  <c r="E70" i="5"/>
  <c r="D70" i="5"/>
  <c r="O69" i="5"/>
  <c r="N69" i="5"/>
  <c r="M69" i="5"/>
  <c r="L69" i="5"/>
  <c r="K69" i="5"/>
  <c r="J69" i="5"/>
  <c r="I69" i="5"/>
  <c r="H69" i="5"/>
  <c r="G69" i="5"/>
  <c r="F69" i="5"/>
  <c r="E69" i="5"/>
  <c r="D69" i="5"/>
  <c r="O68" i="5"/>
  <c r="N68" i="5"/>
  <c r="M68" i="5"/>
  <c r="L68" i="5"/>
  <c r="K68" i="5"/>
  <c r="J68" i="5"/>
  <c r="I68" i="5"/>
  <c r="H68" i="5"/>
  <c r="G68" i="5"/>
  <c r="F68" i="5"/>
  <c r="E68" i="5"/>
  <c r="D68" i="5"/>
  <c r="Q63" i="5"/>
  <c r="P63" i="5"/>
  <c r="Q62" i="5"/>
  <c r="P62" i="5"/>
  <c r="Q61" i="5"/>
  <c r="P61" i="5"/>
  <c r="Q60" i="5"/>
  <c r="P60" i="5"/>
  <c r="Q59" i="5"/>
  <c r="P59" i="5"/>
  <c r="Q58" i="5"/>
  <c r="P58" i="5"/>
  <c r="O57" i="5"/>
  <c r="N57" i="5"/>
  <c r="M57" i="5"/>
  <c r="L57" i="5"/>
  <c r="K57" i="5"/>
  <c r="J57" i="5"/>
  <c r="I57" i="5"/>
  <c r="H57" i="5"/>
  <c r="G57" i="5"/>
  <c r="F57" i="5"/>
  <c r="E57" i="5"/>
  <c r="D57" i="5"/>
  <c r="P57" i="5" s="1"/>
  <c r="Q56" i="5"/>
  <c r="P56" i="5"/>
  <c r="Q55" i="5"/>
  <c r="P55" i="5"/>
  <c r="Q54" i="5"/>
  <c r="P54" i="5"/>
  <c r="Q53" i="5"/>
  <c r="P53" i="5"/>
  <c r="Q52" i="5"/>
  <c r="P52" i="5"/>
  <c r="Q51" i="5"/>
  <c r="P51" i="5"/>
  <c r="Q50" i="5"/>
  <c r="P50" i="5"/>
  <c r="Q49" i="5"/>
  <c r="P49" i="5"/>
  <c r="Q48" i="5"/>
  <c r="E48" i="5"/>
  <c r="P48" i="5" s="1"/>
  <c r="Q47" i="5"/>
  <c r="P47" i="5"/>
  <c r="Q46" i="5"/>
  <c r="P46" i="5"/>
  <c r="Q45" i="5"/>
  <c r="P45" i="5"/>
  <c r="O44" i="5"/>
  <c r="N44" i="5"/>
  <c r="M44" i="5"/>
  <c r="L44" i="5"/>
  <c r="K44" i="5"/>
  <c r="J44" i="5"/>
  <c r="I44" i="5"/>
  <c r="H44" i="5"/>
  <c r="G44" i="5"/>
  <c r="F44" i="5"/>
  <c r="D44" i="5"/>
  <c r="Q43" i="5"/>
  <c r="P43" i="5"/>
  <c r="Q42" i="5"/>
  <c r="P42" i="5"/>
  <c r="Q41" i="5"/>
  <c r="P41" i="5"/>
  <c r="Q40" i="5"/>
  <c r="P40" i="5"/>
  <c r="Q39" i="5"/>
  <c r="P39" i="5"/>
  <c r="Q38" i="5"/>
  <c r="P38" i="5"/>
  <c r="I37" i="5"/>
  <c r="Q37" i="5" s="1"/>
  <c r="O36" i="5"/>
  <c r="N36" i="5"/>
  <c r="M36" i="5"/>
  <c r="L36" i="5"/>
  <c r="K36" i="5"/>
  <c r="J36" i="5"/>
  <c r="H36" i="5"/>
  <c r="G36" i="5"/>
  <c r="F36" i="5"/>
  <c r="E36" i="5"/>
  <c r="D36" i="5"/>
  <c r="Q35" i="5"/>
  <c r="P35" i="5"/>
  <c r="Q34" i="5"/>
  <c r="P34" i="5"/>
  <c r="Q33" i="5"/>
  <c r="P33" i="5"/>
  <c r="O32" i="5"/>
  <c r="N32" i="5"/>
  <c r="M32" i="5"/>
  <c r="L32" i="5"/>
  <c r="K32" i="5"/>
  <c r="J32" i="5"/>
  <c r="I32" i="5"/>
  <c r="H32" i="5"/>
  <c r="G32" i="5"/>
  <c r="F32" i="5"/>
  <c r="E32" i="5"/>
  <c r="D32" i="5"/>
  <c r="Q31" i="5"/>
  <c r="P31" i="5"/>
  <c r="Q30" i="5"/>
  <c r="P30" i="5"/>
  <c r="Q29" i="5"/>
  <c r="P29" i="5"/>
  <c r="Q28" i="5"/>
  <c r="P28" i="5"/>
  <c r="O27" i="5"/>
  <c r="N27" i="5"/>
  <c r="M27" i="5"/>
  <c r="L27" i="5"/>
  <c r="K27" i="5"/>
  <c r="J27" i="5"/>
  <c r="I27" i="5"/>
  <c r="H27" i="5"/>
  <c r="G27" i="5"/>
  <c r="F27" i="5"/>
  <c r="E27" i="5"/>
  <c r="D27" i="5"/>
  <c r="Q26" i="5"/>
  <c r="P26" i="5"/>
  <c r="Q25" i="5"/>
  <c r="P25" i="5"/>
  <c r="Q24" i="5"/>
  <c r="P24" i="5"/>
  <c r="O23" i="5"/>
  <c r="N23" i="5"/>
  <c r="M23" i="5"/>
  <c r="L23" i="5"/>
  <c r="K23" i="5"/>
  <c r="J23" i="5"/>
  <c r="I23" i="5"/>
  <c r="H23" i="5"/>
  <c r="G23" i="5"/>
  <c r="F23" i="5"/>
  <c r="E23" i="5"/>
  <c r="D23" i="5"/>
  <c r="Q22" i="5"/>
  <c r="P22" i="5"/>
  <c r="Q21" i="5"/>
  <c r="P21" i="5"/>
  <c r="Q20" i="5"/>
  <c r="P20" i="5"/>
  <c r="Q19" i="5"/>
  <c r="P19" i="5"/>
  <c r="Q18" i="5"/>
  <c r="P18" i="5"/>
  <c r="Q17" i="5"/>
  <c r="P17" i="5"/>
  <c r="Q16" i="5"/>
  <c r="P16" i="5"/>
  <c r="O15" i="5"/>
  <c r="O14" i="5" s="1"/>
  <c r="O8" i="5" s="1"/>
  <c r="N15" i="5"/>
  <c r="N14" i="5" s="1"/>
  <c r="N8" i="5" s="1"/>
  <c r="M15" i="5"/>
  <c r="L15" i="5"/>
  <c r="K15" i="5"/>
  <c r="J15" i="5"/>
  <c r="I15" i="5"/>
  <c r="H15" i="5"/>
  <c r="G15" i="5"/>
  <c r="F15" i="5"/>
  <c r="E15" i="5"/>
  <c r="D15" i="5"/>
  <c r="Q13" i="5"/>
  <c r="P13" i="5"/>
  <c r="Q12" i="5"/>
  <c r="P12" i="5"/>
  <c r="Q11" i="5"/>
  <c r="P11" i="5"/>
  <c r="Q10" i="5"/>
  <c r="P10" i="5"/>
  <c r="O9" i="5"/>
  <c r="N9" i="5"/>
  <c r="M9" i="5"/>
  <c r="L9" i="5"/>
  <c r="K9" i="5"/>
  <c r="J9" i="5"/>
  <c r="I9" i="5"/>
  <c r="H9" i="5"/>
  <c r="G9" i="5"/>
  <c r="F9" i="5"/>
  <c r="E9" i="5"/>
  <c r="D9" i="5"/>
  <c r="Q7" i="5"/>
  <c r="P7" i="5"/>
  <c r="Q6" i="5"/>
  <c r="P6" i="5"/>
  <c r="P70" i="5" s="1"/>
  <c r="P5" i="5"/>
  <c r="P69" i="5" s="1"/>
  <c r="P4" i="5"/>
  <c r="P68" i="5" s="1"/>
  <c r="O3" i="5"/>
  <c r="N3" i="5"/>
  <c r="M3" i="5"/>
  <c r="L3" i="5"/>
  <c r="K3" i="5"/>
  <c r="J3" i="5"/>
  <c r="J67" i="5" s="1"/>
  <c r="I3" i="5"/>
  <c r="I67" i="5" s="1"/>
  <c r="H3" i="5"/>
  <c r="H67" i="5" s="1"/>
  <c r="G3" i="5"/>
  <c r="F3" i="5"/>
  <c r="E3" i="5"/>
  <c r="D3" i="5"/>
  <c r="O36" i="4"/>
  <c r="N36" i="4"/>
  <c r="M36" i="4"/>
  <c r="L36" i="4"/>
  <c r="K36" i="4"/>
  <c r="J36" i="4"/>
  <c r="I36" i="4"/>
  <c r="H36" i="4"/>
  <c r="G36" i="4"/>
  <c r="F36" i="4"/>
  <c r="E36" i="4"/>
  <c r="D36" i="4"/>
  <c r="O35" i="4"/>
  <c r="N35" i="4"/>
  <c r="M35" i="4"/>
  <c r="L35" i="4"/>
  <c r="K35" i="4"/>
  <c r="J35" i="4"/>
  <c r="I35" i="4"/>
  <c r="H35" i="4"/>
  <c r="G35" i="4"/>
  <c r="F35" i="4"/>
  <c r="E35" i="4"/>
  <c r="D35" i="4"/>
  <c r="Q35" i="4" s="1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N33" i="4"/>
  <c r="M33" i="4"/>
  <c r="H33" i="4"/>
  <c r="F33" i="4"/>
  <c r="E33" i="4"/>
  <c r="Q29" i="4"/>
  <c r="P29" i="4"/>
  <c r="Q28" i="4"/>
  <c r="P28" i="4"/>
  <c r="Q27" i="4"/>
  <c r="P27" i="4"/>
  <c r="Q26" i="4"/>
  <c r="P26" i="4"/>
  <c r="Q25" i="4"/>
  <c r="P25" i="4"/>
  <c r="Q24" i="4"/>
  <c r="P24" i="4"/>
  <c r="Q23" i="4"/>
  <c r="P23" i="4"/>
  <c r="Q22" i="4"/>
  <c r="P22" i="4"/>
  <c r="Q21" i="4"/>
  <c r="P21" i="4"/>
  <c r="Q20" i="4"/>
  <c r="P20" i="4"/>
  <c r="Q19" i="4"/>
  <c r="P19" i="4"/>
  <c r="Q18" i="4"/>
  <c r="P18" i="4"/>
  <c r="O17" i="4"/>
  <c r="N17" i="4"/>
  <c r="M17" i="4"/>
  <c r="L17" i="4"/>
  <c r="L14" i="4" s="1"/>
  <c r="K17" i="4"/>
  <c r="K14" i="4" s="1"/>
  <c r="J17" i="4"/>
  <c r="I17" i="4"/>
  <c r="H17" i="4"/>
  <c r="G17" i="4"/>
  <c r="G14" i="4" s="1"/>
  <c r="G8" i="4" s="1"/>
  <c r="G31" i="4" s="1"/>
  <c r="F17" i="4"/>
  <c r="F14" i="4" s="1"/>
  <c r="E17" i="4"/>
  <c r="E14" i="4" s="1"/>
  <c r="D17" i="4"/>
  <c r="Q16" i="4"/>
  <c r="P16" i="4"/>
  <c r="Q15" i="4"/>
  <c r="P15" i="4"/>
  <c r="O14" i="4"/>
  <c r="N14" i="4"/>
  <c r="N30" i="4" s="1"/>
  <c r="N32" i="4" s="1"/>
  <c r="M14" i="4"/>
  <c r="M30" i="4" s="1"/>
  <c r="J14" i="4"/>
  <c r="J8" i="4" s="1"/>
  <c r="I14" i="4"/>
  <c r="I8" i="4" s="1"/>
  <c r="H14" i="4"/>
  <c r="H30" i="4" s="1"/>
  <c r="H32" i="4" s="1"/>
  <c r="Q13" i="4"/>
  <c r="P13" i="4"/>
  <c r="P9" i="4" s="1"/>
  <c r="Q12" i="4"/>
  <c r="P12" i="4"/>
  <c r="Q11" i="4"/>
  <c r="P11" i="4"/>
  <c r="Q10" i="4"/>
  <c r="P10" i="4"/>
  <c r="O9" i="4"/>
  <c r="N9" i="4"/>
  <c r="M9" i="4"/>
  <c r="L9" i="4"/>
  <c r="L8" i="4" s="1"/>
  <c r="K9" i="4"/>
  <c r="K8" i="4" s="1"/>
  <c r="K31" i="4" s="1"/>
  <c r="J9" i="4"/>
  <c r="I9" i="4"/>
  <c r="H9" i="4"/>
  <c r="G9" i="4"/>
  <c r="F9" i="4"/>
  <c r="E9" i="4"/>
  <c r="E8" i="4" s="1"/>
  <c r="D9" i="4"/>
  <c r="O8" i="4"/>
  <c r="H8" i="4"/>
  <c r="H31" i="4" s="1"/>
  <c r="Q7" i="4"/>
  <c r="P7" i="4"/>
  <c r="Q6" i="4"/>
  <c r="P6" i="4"/>
  <c r="P36" i="4" s="1"/>
  <c r="Q5" i="4"/>
  <c r="P5" i="4"/>
  <c r="P35" i="4" s="1"/>
  <c r="Q4" i="4"/>
  <c r="P4" i="4"/>
  <c r="P3" i="4" s="1"/>
  <c r="O3" i="4"/>
  <c r="O30" i="4" s="1"/>
  <c r="O32" i="4" s="1"/>
  <c r="N3" i="4"/>
  <c r="M3" i="4"/>
  <c r="L3" i="4"/>
  <c r="L31" i="4" s="1"/>
  <c r="K3" i="4"/>
  <c r="K30" i="4" s="1"/>
  <c r="K32" i="4" s="1"/>
  <c r="J3" i="4"/>
  <c r="I3" i="4"/>
  <c r="H3" i="4"/>
  <c r="G3" i="4"/>
  <c r="G33" i="4" s="1"/>
  <c r="F3" i="4"/>
  <c r="E3" i="4"/>
  <c r="D3" i="4"/>
  <c r="O36" i="3"/>
  <c r="N36" i="3"/>
  <c r="M36" i="3"/>
  <c r="L36" i="3"/>
  <c r="K36" i="3"/>
  <c r="J36" i="3"/>
  <c r="I36" i="3"/>
  <c r="H36" i="3"/>
  <c r="G36" i="3"/>
  <c r="F36" i="3"/>
  <c r="E36" i="3"/>
  <c r="D36" i="3"/>
  <c r="Q36" i="3" s="1"/>
  <c r="N35" i="3"/>
  <c r="M35" i="3"/>
  <c r="L35" i="3"/>
  <c r="K35" i="3"/>
  <c r="J35" i="3"/>
  <c r="I35" i="3"/>
  <c r="H35" i="3"/>
  <c r="G35" i="3"/>
  <c r="F35" i="3"/>
  <c r="E35" i="3"/>
  <c r="D35" i="3"/>
  <c r="O34" i="3"/>
  <c r="M34" i="3"/>
  <c r="L34" i="3"/>
  <c r="K34" i="3"/>
  <c r="J34" i="3"/>
  <c r="I34" i="3"/>
  <c r="H34" i="3"/>
  <c r="G34" i="3"/>
  <c r="F34" i="3"/>
  <c r="E34" i="3"/>
  <c r="D34" i="3"/>
  <c r="M33" i="3"/>
  <c r="L33" i="3"/>
  <c r="F33" i="3"/>
  <c r="E33" i="3"/>
  <c r="Q29" i="3"/>
  <c r="P29" i="3"/>
  <c r="Q28" i="3"/>
  <c r="P28" i="3"/>
  <c r="Q27" i="3"/>
  <c r="P27" i="3"/>
  <c r="Q26" i="3"/>
  <c r="P26" i="3"/>
  <c r="Q25" i="3"/>
  <c r="P25" i="3"/>
  <c r="N25" i="3"/>
  <c r="M25" i="3"/>
  <c r="Q24" i="3"/>
  <c r="P24" i="3"/>
  <c r="Q23" i="3"/>
  <c r="P23" i="3"/>
  <c r="Q22" i="3"/>
  <c r="R21" i="3"/>
  <c r="Q21" i="3"/>
  <c r="P21" i="3"/>
  <c r="Q20" i="3"/>
  <c r="P20" i="3"/>
  <c r="K20" i="3"/>
  <c r="O19" i="3"/>
  <c r="O35" i="3" s="1"/>
  <c r="N19" i="3"/>
  <c r="Q19" i="3" s="1"/>
  <c r="Q18" i="3"/>
  <c r="O18" i="3"/>
  <c r="O17" i="3" s="1"/>
  <c r="O14" i="3" s="1"/>
  <c r="N18" i="3"/>
  <c r="N34" i="3" s="1"/>
  <c r="M17" i="3"/>
  <c r="M14" i="3" s="1"/>
  <c r="M8" i="3" s="1"/>
  <c r="M31" i="3" s="1"/>
  <c r="L17" i="3"/>
  <c r="K17" i="3"/>
  <c r="K14" i="3" s="1"/>
  <c r="J17" i="3"/>
  <c r="I17" i="3"/>
  <c r="H17" i="3"/>
  <c r="G17" i="3"/>
  <c r="F17" i="3"/>
  <c r="F14" i="3" s="1"/>
  <c r="F30" i="3" s="1"/>
  <c r="E17" i="3"/>
  <c r="D17" i="3"/>
  <c r="Q16" i="3"/>
  <c r="P16" i="3"/>
  <c r="Q15" i="3"/>
  <c r="M15" i="3"/>
  <c r="K15" i="3"/>
  <c r="J15" i="3"/>
  <c r="I15" i="3"/>
  <c r="I14" i="3" s="1"/>
  <c r="I8" i="3" s="1"/>
  <c r="L14" i="3"/>
  <c r="L8" i="3" s="1"/>
  <c r="L31" i="3" s="1"/>
  <c r="H14" i="3"/>
  <c r="H8" i="3" s="1"/>
  <c r="G14" i="3"/>
  <c r="G8" i="3" s="1"/>
  <c r="D14" i="3"/>
  <c r="Q13" i="3"/>
  <c r="P13" i="3"/>
  <c r="Q12" i="3"/>
  <c r="P12" i="3"/>
  <c r="Q11" i="3"/>
  <c r="P11" i="3"/>
  <c r="P9" i="3" s="1"/>
  <c r="Q10" i="3"/>
  <c r="P10" i="3"/>
  <c r="O9" i="3"/>
  <c r="N9" i="3"/>
  <c r="M9" i="3"/>
  <c r="L9" i="3"/>
  <c r="K9" i="3"/>
  <c r="J9" i="3"/>
  <c r="I9" i="3"/>
  <c r="H9" i="3"/>
  <c r="G9" i="3"/>
  <c r="F9" i="3"/>
  <c r="E9" i="3"/>
  <c r="D9" i="3"/>
  <c r="D8" i="3" s="1"/>
  <c r="F8" i="3"/>
  <c r="F31" i="3" s="1"/>
  <c r="Q7" i="3"/>
  <c r="P7" i="3"/>
  <c r="P3" i="3" s="1"/>
  <c r="Q6" i="3"/>
  <c r="P6" i="3"/>
  <c r="Q5" i="3"/>
  <c r="P5" i="3"/>
  <c r="Q4" i="3"/>
  <c r="P4" i="3"/>
  <c r="O3" i="3"/>
  <c r="N3" i="3"/>
  <c r="M3" i="3"/>
  <c r="L3" i="3"/>
  <c r="L30" i="3" s="1"/>
  <c r="K3" i="3"/>
  <c r="J3" i="3"/>
  <c r="J33" i="3" s="1"/>
  <c r="I3" i="3"/>
  <c r="H3" i="3"/>
  <c r="G3" i="3"/>
  <c r="G32" i="3" s="1"/>
  <c r="F3" i="3"/>
  <c r="F32" i="3" s="1"/>
  <c r="E3" i="3"/>
  <c r="E32" i="3" s="1"/>
  <c r="D3" i="3"/>
  <c r="D33" i="3" s="1"/>
  <c r="O36" i="2"/>
  <c r="N36" i="2"/>
  <c r="M36" i="2"/>
  <c r="L36" i="2"/>
  <c r="K36" i="2"/>
  <c r="J36" i="2"/>
  <c r="I36" i="2"/>
  <c r="H36" i="2"/>
  <c r="G36" i="2"/>
  <c r="F36" i="2"/>
  <c r="E36" i="2"/>
  <c r="D36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O34" i="2"/>
  <c r="N34" i="2"/>
  <c r="M34" i="2"/>
  <c r="L34" i="2"/>
  <c r="K34" i="2"/>
  <c r="J34" i="2"/>
  <c r="I34" i="2"/>
  <c r="H34" i="2"/>
  <c r="G34" i="2"/>
  <c r="F34" i="2"/>
  <c r="E34" i="2"/>
  <c r="D34" i="2"/>
  <c r="N33" i="2"/>
  <c r="L33" i="2"/>
  <c r="K33" i="2"/>
  <c r="H33" i="2"/>
  <c r="F33" i="2"/>
  <c r="M32" i="2"/>
  <c r="L32" i="2"/>
  <c r="I32" i="2"/>
  <c r="H32" i="2"/>
  <c r="G32" i="2"/>
  <c r="N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R21" i="2"/>
  <c r="Q21" i="2"/>
  <c r="P21" i="2"/>
  <c r="Q20" i="2"/>
  <c r="P20" i="2"/>
  <c r="Q19" i="2"/>
  <c r="P19" i="2"/>
  <c r="Q18" i="2"/>
  <c r="P18" i="2"/>
  <c r="O17" i="2"/>
  <c r="N17" i="2"/>
  <c r="M17" i="2"/>
  <c r="M14" i="2" s="1"/>
  <c r="L17" i="2"/>
  <c r="L14" i="2" s="1"/>
  <c r="K17" i="2"/>
  <c r="K14" i="2" s="1"/>
  <c r="J17" i="2"/>
  <c r="J14" i="2" s="1"/>
  <c r="J30" i="2" s="1"/>
  <c r="I17" i="2"/>
  <c r="I14" i="2" s="1"/>
  <c r="I30" i="2" s="1"/>
  <c r="H17" i="2"/>
  <c r="G17" i="2"/>
  <c r="F17" i="2"/>
  <c r="E17" i="2"/>
  <c r="E14" i="2" s="1"/>
  <c r="D17" i="2"/>
  <c r="D14" i="2" s="1"/>
  <c r="Q16" i="2"/>
  <c r="P16" i="2"/>
  <c r="Q15" i="2"/>
  <c r="P15" i="2"/>
  <c r="O14" i="2"/>
  <c r="O8" i="2" s="1"/>
  <c r="N14" i="2"/>
  <c r="H14" i="2"/>
  <c r="H30" i="2" s="1"/>
  <c r="G14" i="2"/>
  <c r="G30" i="2" s="1"/>
  <c r="F14" i="2"/>
  <c r="F30" i="2" s="1"/>
  <c r="Q13" i="2"/>
  <c r="P13" i="2"/>
  <c r="Q12" i="2"/>
  <c r="P12" i="2"/>
  <c r="Q11" i="2"/>
  <c r="P11" i="2"/>
  <c r="E10" i="2"/>
  <c r="O9" i="2"/>
  <c r="N9" i="2"/>
  <c r="M9" i="2"/>
  <c r="L9" i="2"/>
  <c r="K9" i="2"/>
  <c r="K8" i="2" s="1"/>
  <c r="J9" i="2"/>
  <c r="Q9" i="2" s="1"/>
  <c r="I9" i="2"/>
  <c r="H9" i="2"/>
  <c r="G9" i="2"/>
  <c r="F9" i="2"/>
  <c r="E9" i="2"/>
  <c r="E8" i="2" s="1"/>
  <c r="D9" i="2"/>
  <c r="N8" i="2"/>
  <c r="I8" i="2"/>
  <c r="H8" i="2"/>
  <c r="Q7" i="2"/>
  <c r="P7" i="2"/>
  <c r="Q6" i="2"/>
  <c r="P6" i="2"/>
  <c r="P36" i="2" s="1"/>
  <c r="Q5" i="2"/>
  <c r="P5" i="2"/>
  <c r="Q4" i="2"/>
  <c r="P4" i="2"/>
  <c r="P34" i="2" s="1"/>
  <c r="P3" i="2"/>
  <c r="O3" i="2"/>
  <c r="N3" i="2"/>
  <c r="N32" i="2" s="1"/>
  <c r="M3" i="2"/>
  <c r="M33" i="2" s="1"/>
  <c r="L3" i="2"/>
  <c r="K3" i="2"/>
  <c r="J3" i="2"/>
  <c r="I3" i="2"/>
  <c r="I33" i="2" s="1"/>
  <c r="H3" i="2"/>
  <c r="H31" i="2" s="1"/>
  <c r="G3" i="2"/>
  <c r="G33" i="2" s="1"/>
  <c r="F3" i="2"/>
  <c r="F32" i="2" s="1"/>
  <c r="E3" i="2"/>
  <c r="D3" i="2"/>
  <c r="O72" i="6"/>
  <c r="N72" i="6"/>
  <c r="M72" i="6"/>
  <c r="L72" i="6"/>
  <c r="K72" i="6"/>
  <c r="J72" i="6"/>
  <c r="I72" i="6"/>
  <c r="H72" i="6"/>
  <c r="G72" i="6"/>
  <c r="F72" i="6"/>
  <c r="E72" i="6"/>
  <c r="D72" i="6"/>
  <c r="O71" i="6"/>
  <c r="N71" i="6"/>
  <c r="M71" i="6"/>
  <c r="L71" i="6"/>
  <c r="K71" i="6"/>
  <c r="J71" i="6"/>
  <c r="I71" i="6"/>
  <c r="H71" i="6"/>
  <c r="G71" i="6"/>
  <c r="F71" i="6"/>
  <c r="E71" i="6"/>
  <c r="D71" i="6"/>
  <c r="O70" i="6"/>
  <c r="N70" i="6"/>
  <c r="M70" i="6"/>
  <c r="L70" i="6"/>
  <c r="K70" i="6"/>
  <c r="J70" i="6"/>
  <c r="I70" i="6"/>
  <c r="H70" i="6"/>
  <c r="G70" i="6"/>
  <c r="F70" i="6"/>
  <c r="E70" i="6"/>
  <c r="D70" i="6"/>
  <c r="Q65" i="6"/>
  <c r="P65" i="6"/>
  <c r="Q64" i="6"/>
  <c r="P64" i="6"/>
  <c r="Q63" i="6"/>
  <c r="P63" i="6"/>
  <c r="Q62" i="6"/>
  <c r="P62" i="6"/>
  <c r="Q61" i="6"/>
  <c r="P61" i="6"/>
  <c r="Q60" i="6"/>
  <c r="P60" i="6"/>
  <c r="O59" i="6"/>
  <c r="N59" i="6"/>
  <c r="M59" i="6"/>
  <c r="L59" i="6"/>
  <c r="K59" i="6"/>
  <c r="J59" i="6"/>
  <c r="I59" i="6"/>
  <c r="H59" i="6"/>
  <c r="G59" i="6"/>
  <c r="F59" i="6"/>
  <c r="E59" i="6"/>
  <c r="D59" i="6"/>
  <c r="Q58" i="6"/>
  <c r="P58" i="6"/>
  <c r="Q57" i="6"/>
  <c r="P57" i="6"/>
  <c r="Q56" i="6"/>
  <c r="P56" i="6"/>
  <c r="Q55" i="6"/>
  <c r="P55" i="6"/>
  <c r="Q54" i="6"/>
  <c r="P54" i="6"/>
  <c r="Q53" i="6"/>
  <c r="P53" i="6"/>
  <c r="Q52" i="6"/>
  <c r="P52" i="6"/>
  <c r="Q51" i="6"/>
  <c r="P51" i="6"/>
  <c r="Q50" i="6"/>
  <c r="P50" i="6"/>
  <c r="Q49" i="6"/>
  <c r="P49" i="6"/>
  <c r="Q48" i="6"/>
  <c r="P48" i="6"/>
  <c r="Q47" i="6"/>
  <c r="P47" i="6"/>
  <c r="O46" i="6"/>
  <c r="N46" i="6"/>
  <c r="M46" i="6"/>
  <c r="L46" i="6"/>
  <c r="K46" i="6"/>
  <c r="J46" i="6"/>
  <c r="I46" i="6"/>
  <c r="H46" i="6"/>
  <c r="G46" i="6"/>
  <c r="F46" i="6"/>
  <c r="E46" i="6"/>
  <c r="D46" i="6"/>
  <c r="Q45" i="6"/>
  <c r="P45" i="6"/>
  <c r="Q44" i="6"/>
  <c r="P44" i="6"/>
  <c r="Q43" i="6"/>
  <c r="P43" i="6"/>
  <c r="Q42" i="6"/>
  <c r="P42" i="6"/>
  <c r="Q41" i="6"/>
  <c r="P41" i="6"/>
  <c r="Q40" i="6"/>
  <c r="P40" i="6"/>
  <c r="Q39" i="6"/>
  <c r="P39" i="6"/>
  <c r="O38" i="6"/>
  <c r="N38" i="6"/>
  <c r="M38" i="6"/>
  <c r="L38" i="6"/>
  <c r="K38" i="6"/>
  <c r="J38" i="6"/>
  <c r="I38" i="6"/>
  <c r="H38" i="6"/>
  <c r="G38" i="6"/>
  <c r="F38" i="6"/>
  <c r="E38" i="6"/>
  <c r="D38" i="6"/>
  <c r="Q37" i="6"/>
  <c r="P37" i="6"/>
  <c r="Q36" i="6"/>
  <c r="P36" i="6"/>
  <c r="Q35" i="6"/>
  <c r="P35" i="6"/>
  <c r="O34" i="6"/>
  <c r="N34" i="6"/>
  <c r="M34" i="6"/>
  <c r="L34" i="6"/>
  <c r="K34" i="6"/>
  <c r="J34" i="6"/>
  <c r="I34" i="6"/>
  <c r="H34" i="6"/>
  <c r="G34" i="6"/>
  <c r="F34" i="6"/>
  <c r="E34" i="6"/>
  <c r="D34" i="6"/>
  <c r="Q33" i="6"/>
  <c r="P33" i="6"/>
  <c r="Q30" i="6"/>
  <c r="P30" i="6"/>
  <c r="Q29" i="6"/>
  <c r="P29" i="6"/>
  <c r="Q28" i="6"/>
  <c r="P28" i="6"/>
  <c r="O27" i="6"/>
  <c r="N27" i="6"/>
  <c r="M27" i="6"/>
  <c r="L27" i="6"/>
  <c r="K27" i="6"/>
  <c r="J27" i="6"/>
  <c r="H27" i="6"/>
  <c r="G27" i="6"/>
  <c r="F27" i="6"/>
  <c r="E27" i="6"/>
  <c r="D27" i="6"/>
  <c r="Q26" i="6"/>
  <c r="P26" i="6"/>
  <c r="Q25" i="6"/>
  <c r="P25" i="6"/>
  <c r="Q24" i="6"/>
  <c r="P24" i="6"/>
  <c r="O23" i="6"/>
  <c r="N23" i="6"/>
  <c r="M23" i="6"/>
  <c r="L23" i="6"/>
  <c r="K23" i="6"/>
  <c r="J23" i="6"/>
  <c r="I23" i="6"/>
  <c r="H23" i="6"/>
  <c r="G23" i="6"/>
  <c r="F23" i="6"/>
  <c r="E23" i="6"/>
  <c r="D23" i="6"/>
  <c r="Q21" i="6"/>
  <c r="P21" i="6"/>
  <c r="Q20" i="6"/>
  <c r="P20" i="6"/>
  <c r="Q19" i="6"/>
  <c r="P19" i="6"/>
  <c r="Q18" i="6"/>
  <c r="P18" i="6"/>
  <c r="Q17" i="6"/>
  <c r="P17" i="6"/>
  <c r="Q16" i="6"/>
  <c r="P16" i="6"/>
  <c r="L15" i="6"/>
  <c r="H15" i="6"/>
  <c r="Q13" i="6"/>
  <c r="P13" i="6"/>
  <c r="Q12" i="6"/>
  <c r="P12" i="6"/>
  <c r="Q11" i="6"/>
  <c r="P11" i="6"/>
  <c r="Q10" i="6"/>
  <c r="P10" i="6"/>
  <c r="O9" i="6"/>
  <c r="N9" i="6"/>
  <c r="M9" i="6"/>
  <c r="L9" i="6"/>
  <c r="K9" i="6"/>
  <c r="J9" i="6"/>
  <c r="I9" i="6"/>
  <c r="H9" i="6"/>
  <c r="G9" i="6"/>
  <c r="F9" i="6"/>
  <c r="E9" i="6"/>
  <c r="D9" i="6"/>
  <c r="Q7" i="6"/>
  <c r="P7" i="6"/>
  <c r="Q6" i="6"/>
  <c r="P6" i="6"/>
  <c r="P5" i="6"/>
  <c r="P4" i="6"/>
  <c r="O3" i="6"/>
  <c r="N3" i="6"/>
  <c r="N22" i="6" s="1"/>
  <c r="N15" i="6" s="1"/>
  <c r="M3" i="6"/>
  <c r="M22" i="6" s="1"/>
  <c r="M15" i="6" s="1"/>
  <c r="L3" i="6"/>
  <c r="L22" i="6" s="1"/>
  <c r="K3" i="6"/>
  <c r="K22" i="6" s="1"/>
  <c r="K15" i="6" s="1"/>
  <c r="J3" i="6"/>
  <c r="J22" i="6" s="1"/>
  <c r="J15" i="6" s="1"/>
  <c r="I3" i="6"/>
  <c r="I22" i="6" s="1"/>
  <c r="I15" i="6" s="1"/>
  <c r="H3" i="6"/>
  <c r="H22" i="6" s="1"/>
  <c r="G3" i="6"/>
  <c r="G22" i="6" s="1"/>
  <c r="G15" i="6" s="1"/>
  <c r="F3" i="6"/>
  <c r="F22" i="6" s="1"/>
  <c r="F15" i="6" s="1"/>
  <c r="E3" i="6"/>
  <c r="E22" i="6" s="1"/>
  <c r="E15" i="6" s="1"/>
  <c r="D3" i="6"/>
  <c r="D22" i="6" s="1"/>
  <c r="P72" i="6" l="1"/>
  <c r="P71" i="6"/>
  <c r="L69" i="6"/>
  <c r="H14" i="6"/>
  <c r="H66" i="6" s="1"/>
  <c r="H68" i="6" s="1"/>
  <c r="O69" i="6"/>
  <c r="O22" i="6"/>
  <c r="O15" i="6" s="1"/>
  <c r="O14" i="6" s="1"/>
  <c r="O8" i="6" s="1"/>
  <c r="O67" i="6" s="1"/>
  <c r="D15" i="6"/>
  <c r="D14" i="6" s="1"/>
  <c r="D66" i="6" s="1"/>
  <c r="D69" i="6"/>
  <c r="E69" i="6"/>
  <c r="G69" i="6"/>
  <c r="H69" i="6"/>
  <c r="F69" i="6"/>
  <c r="J14" i="6"/>
  <c r="J8" i="6" s="1"/>
  <c r="J67" i="6" s="1"/>
  <c r="P70" i="6"/>
  <c r="P23" i="6"/>
  <c r="Q9" i="6"/>
  <c r="M14" i="6"/>
  <c r="M8" i="6" s="1"/>
  <c r="M67" i="6" s="1"/>
  <c r="Q72" i="6"/>
  <c r="Q23" i="6"/>
  <c r="H8" i="6"/>
  <c r="H67" i="6" s="1"/>
  <c r="G14" i="6"/>
  <c r="G8" i="6" s="1"/>
  <c r="G67" i="6" s="1"/>
  <c r="Q27" i="6"/>
  <c r="F14" i="6"/>
  <c r="F66" i="6" s="1"/>
  <c r="F68" i="6" s="1"/>
  <c r="I14" i="6"/>
  <c r="I66" i="6" s="1"/>
  <c r="I68" i="6" s="1"/>
  <c r="Q70" i="6"/>
  <c r="Q9" i="5"/>
  <c r="Q15" i="5"/>
  <c r="P9" i="5"/>
  <c r="M14" i="5"/>
  <c r="M64" i="5" s="1"/>
  <c r="M66" i="5" s="1"/>
  <c r="J14" i="5"/>
  <c r="J8" i="5" s="1"/>
  <c r="J65" i="5" s="1"/>
  <c r="Q70" i="5"/>
  <c r="Q69" i="5"/>
  <c r="K67" i="5"/>
  <c r="Q68" i="5"/>
  <c r="Q23" i="5"/>
  <c r="Q27" i="5"/>
  <c r="F14" i="5"/>
  <c r="F64" i="5" s="1"/>
  <c r="F66" i="5" s="1"/>
  <c r="Q57" i="5"/>
  <c r="H14" i="5"/>
  <c r="H64" i="5" s="1"/>
  <c r="H66" i="5" s="1"/>
  <c r="G14" i="5"/>
  <c r="G8" i="5" s="1"/>
  <c r="G65" i="5" s="1"/>
  <c r="L14" i="5"/>
  <c r="L8" i="5" s="1"/>
  <c r="L65" i="5" s="1"/>
  <c r="K14" i="5"/>
  <c r="K64" i="5" s="1"/>
  <c r="K66" i="5" s="1"/>
  <c r="M8" i="5"/>
  <c r="M65" i="5" s="1"/>
  <c r="Q32" i="5"/>
  <c r="Q59" i="6"/>
  <c r="P59" i="6"/>
  <c r="N14" i="6"/>
  <c r="N8" i="6" s="1"/>
  <c r="N67" i="6" s="1"/>
  <c r="L14" i="6"/>
  <c r="L66" i="6" s="1"/>
  <c r="L68" i="6" s="1"/>
  <c r="P27" i="6"/>
  <c r="M30" i="2"/>
  <c r="M8" i="2"/>
  <c r="J69" i="6"/>
  <c r="Q38" i="6"/>
  <c r="P38" i="6"/>
  <c r="O30" i="2"/>
  <c r="O32" i="2"/>
  <c r="H31" i="3"/>
  <c r="H30" i="3"/>
  <c r="H33" i="3"/>
  <c r="J30" i="4"/>
  <c r="J32" i="4" s="1"/>
  <c r="J33" i="4"/>
  <c r="Q17" i="4"/>
  <c r="D14" i="4"/>
  <c r="P17" i="4"/>
  <c r="R17" i="4" s="1"/>
  <c r="Q34" i="6"/>
  <c r="P34" i="6"/>
  <c r="Q71" i="6"/>
  <c r="Q3" i="2"/>
  <c r="D30" i="2"/>
  <c r="D33" i="2"/>
  <c r="I32" i="3"/>
  <c r="P36" i="3"/>
  <c r="J14" i="3"/>
  <c r="J30" i="3" s="1"/>
  <c r="I30" i="3"/>
  <c r="R7" i="2"/>
  <c r="R6" i="2"/>
  <c r="R29" i="2"/>
  <c r="R28" i="2"/>
  <c r="R24" i="2"/>
  <c r="R20" i="2"/>
  <c r="R16" i="2"/>
  <c r="R12" i="2"/>
  <c r="P33" i="2"/>
  <c r="R4" i="2"/>
  <c r="R27" i="2"/>
  <c r="R23" i="2"/>
  <c r="R19" i="2"/>
  <c r="R15" i="2"/>
  <c r="R11" i="2"/>
  <c r="E31" i="2"/>
  <c r="J8" i="2"/>
  <c r="L8" i="2"/>
  <c r="O33" i="2"/>
  <c r="M30" i="3"/>
  <c r="M32" i="3" s="1"/>
  <c r="M8" i="4"/>
  <c r="M31" i="4" s="1"/>
  <c r="J31" i="4"/>
  <c r="R25" i="2"/>
  <c r="K30" i="3"/>
  <c r="R29" i="3"/>
  <c r="R25" i="3"/>
  <c r="R15" i="3"/>
  <c r="R28" i="3"/>
  <c r="R20" i="3"/>
  <c r="R11" i="3"/>
  <c r="R7" i="3"/>
  <c r="R24" i="3"/>
  <c r="R10" i="3"/>
  <c r="R6" i="3"/>
  <c r="R23" i="3"/>
  <c r="R26" i="3"/>
  <c r="R16" i="3"/>
  <c r="R13" i="3"/>
  <c r="R9" i="3"/>
  <c r="R5" i="3"/>
  <c r="R22" i="3"/>
  <c r="M32" i="4"/>
  <c r="N69" i="6"/>
  <c r="R13" i="2"/>
  <c r="R12" i="3"/>
  <c r="P15" i="3"/>
  <c r="Q34" i="3"/>
  <c r="Q35" i="3"/>
  <c r="Q14" i="2"/>
  <c r="P14" i="2"/>
  <c r="R14" i="2" s="1"/>
  <c r="D8" i="2"/>
  <c r="P17" i="2"/>
  <c r="K8" i="3"/>
  <c r="K31" i="3" s="1"/>
  <c r="Q9" i="4"/>
  <c r="K14" i="6"/>
  <c r="K8" i="6" s="1"/>
  <c r="K67" i="6" s="1"/>
  <c r="R5" i="2"/>
  <c r="Q17" i="2"/>
  <c r="R26" i="2"/>
  <c r="D33" i="4"/>
  <c r="R29" i="4"/>
  <c r="R25" i="4"/>
  <c r="R21" i="4"/>
  <c r="R13" i="4"/>
  <c r="R9" i="4"/>
  <c r="R5" i="4"/>
  <c r="P33" i="4"/>
  <c r="R28" i="4"/>
  <c r="R24" i="4"/>
  <c r="R20" i="4"/>
  <c r="R16" i="4"/>
  <c r="R12" i="4"/>
  <c r="R4" i="4"/>
  <c r="R27" i="4"/>
  <c r="R23" i="4"/>
  <c r="R19" i="4"/>
  <c r="R15" i="4"/>
  <c r="R11" i="4"/>
  <c r="R7" i="4"/>
  <c r="R26" i="4"/>
  <c r="R22" i="4"/>
  <c r="R18" i="4"/>
  <c r="R10" i="4"/>
  <c r="R6" i="4"/>
  <c r="Q4" i="6"/>
  <c r="P3" i="6"/>
  <c r="Q3" i="6"/>
  <c r="P9" i="6"/>
  <c r="J33" i="2"/>
  <c r="J32" i="2"/>
  <c r="R17" i="2"/>
  <c r="D31" i="2"/>
  <c r="O30" i="3"/>
  <c r="O32" i="3" s="1"/>
  <c r="O33" i="3"/>
  <c r="F8" i="4"/>
  <c r="F31" i="4" s="1"/>
  <c r="M69" i="6"/>
  <c r="K32" i="2"/>
  <c r="K30" i="2"/>
  <c r="F8" i="2"/>
  <c r="F31" i="2" s="1"/>
  <c r="Q10" i="2"/>
  <c r="P10" i="2"/>
  <c r="P9" i="2" s="1"/>
  <c r="P8" i="2" s="1"/>
  <c r="P31" i="2" s="1"/>
  <c r="R31" i="2" s="1"/>
  <c r="R22" i="2"/>
  <c r="R27" i="3"/>
  <c r="L31" i="2"/>
  <c r="L30" i="2"/>
  <c r="G8" i="2"/>
  <c r="G31" i="2" s="1"/>
  <c r="J31" i="2"/>
  <c r="O8" i="3"/>
  <c r="O31" i="3" s="1"/>
  <c r="H32" i="3"/>
  <c r="N65" i="5"/>
  <c r="K69" i="6"/>
  <c r="E14" i="6"/>
  <c r="E66" i="6" s="1"/>
  <c r="E68" i="6" s="1"/>
  <c r="Q46" i="6"/>
  <c r="P46" i="6"/>
  <c r="R18" i="2"/>
  <c r="K31" i="2"/>
  <c r="R4" i="3"/>
  <c r="Q34" i="4"/>
  <c r="O65" i="5"/>
  <c r="I69" i="6"/>
  <c r="Q5" i="6"/>
  <c r="O31" i="2"/>
  <c r="G33" i="3"/>
  <c r="G31" i="3"/>
  <c r="G30" i="3"/>
  <c r="Q9" i="3"/>
  <c r="I31" i="4"/>
  <c r="I30" i="4"/>
  <c r="I32" i="4" s="1"/>
  <c r="I33" i="4"/>
  <c r="Q36" i="4"/>
  <c r="D30" i="3"/>
  <c r="J32" i="3"/>
  <c r="D14" i="5"/>
  <c r="D64" i="5" s="1"/>
  <c r="D66" i="5" s="1"/>
  <c r="L67" i="5"/>
  <c r="N17" i="3"/>
  <c r="P19" i="3"/>
  <c r="P35" i="3" s="1"/>
  <c r="K32" i="3"/>
  <c r="I33" i="3"/>
  <c r="E30" i="4"/>
  <c r="E32" i="4" s="1"/>
  <c r="M67" i="5"/>
  <c r="L32" i="3"/>
  <c r="F30" i="4"/>
  <c r="F32" i="4" s="1"/>
  <c r="O31" i="4"/>
  <c r="L32" i="4"/>
  <c r="N67" i="5"/>
  <c r="I31" i="2"/>
  <c r="E33" i="2"/>
  <c r="E14" i="3"/>
  <c r="D31" i="3"/>
  <c r="K33" i="3"/>
  <c r="G30" i="4"/>
  <c r="G32" i="4" s="1"/>
  <c r="K33" i="4"/>
  <c r="P15" i="5"/>
  <c r="P23" i="5"/>
  <c r="P27" i="5"/>
  <c r="O67" i="5"/>
  <c r="N8" i="4"/>
  <c r="N31" i="4" s="1"/>
  <c r="E31" i="4"/>
  <c r="L33" i="4"/>
  <c r="P3" i="5"/>
  <c r="D67" i="5"/>
  <c r="Q3" i="4"/>
  <c r="Q3" i="5"/>
  <c r="E67" i="5"/>
  <c r="D32" i="3"/>
  <c r="P32" i="5"/>
  <c r="N64" i="5"/>
  <c r="N66" i="5" s="1"/>
  <c r="F67" i="5"/>
  <c r="M31" i="2"/>
  <c r="Q3" i="3"/>
  <c r="O33" i="4"/>
  <c r="Q4" i="5"/>
  <c r="P44" i="5"/>
  <c r="O64" i="5"/>
  <c r="O66" i="5" s="1"/>
  <c r="G67" i="5"/>
  <c r="E30" i="2"/>
  <c r="E32" i="2" s="1"/>
  <c r="N31" i="2"/>
  <c r="P18" i="3"/>
  <c r="P34" i="3" s="1"/>
  <c r="I31" i="3"/>
  <c r="L30" i="4"/>
  <c r="E44" i="5"/>
  <c r="E14" i="5" s="1"/>
  <c r="E64" i="5" s="1"/>
  <c r="E66" i="5" s="1"/>
  <c r="Q5" i="5"/>
  <c r="P37" i="5"/>
  <c r="I36" i="5"/>
  <c r="I14" i="5" s="1"/>
  <c r="I64" i="5" s="1"/>
  <c r="I66" i="5" s="1"/>
  <c r="P15" i="6" l="1"/>
  <c r="P22" i="6"/>
  <c r="Q15" i="6"/>
  <c r="R32" i="6"/>
  <c r="R31" i="6"/>
  <c r="J66" i="6"/>
  <c r="J68" i="6" s="1"/>
  <c r="Q22" i="6"/>
  <c r="Q69" i="6"/>
  <c r="M66" i="6"/>
  <c r="M68" i="6" s="1"/>
  <c r="G66" i="6"/>
  <c r="G68" i="6" s="1"/>
  <c r="I8" i="6"/>
  <c r="I67" i="6" s="1"/>
  <c r="F8" i="6"/>
  <c r="F67" i="6" s="1"/>
  <c r="O66" i="6"/>
  <c r="O68" i="6" s="1"/>
  <c r="E8" i="6"/>
  <c r="E67" i="6" s="1"/>
  <c r="J64" i="5"/>
  <c r="J66" i="5" s="1"/>
  <c r="H8" i="5"/>
  <c r="H65" i="5" s="1"/>
  <c r="F8" i="5"/>
  <c r="F65" i="5" s="1"/>
  <c r="G64" i="5"/>
  <c r="G66" i="5" s="1"/>
  <c r="K8" i="5"/>
  <c r="K65" i="5" s="1"/>
  <c r="E8" i="5"/>
  <c r="E65" i="5" s="1"/>
  <c r="L64" i="5"/>
  <c r="L66" i="5" s="1"/>
  <c r="Q66" i="5" s="1"/>
  <c r="N66" i="6"/>
  <c r="N68" i="6" s="1"/>
  <c r="L8" i="6"/>
  <c r="L67" i="6" s="1"/>
  <c r="D68" i="6"/>
  <c r="Q14" i="4"/>
  <c r="D30" i="4"/>
  <c r="P14" i="4"/>
  <c r="Q67" i="5"/>
  <c r="P36" i="5"/>
  <c r="R36" i="5" s="1"/>
  <c r="R10" i="2"/>
  <c r="R8" i="2"/>
  <c r="R33" i="5"/>
  <c r="R29" i="5"/>
  <c r="R25" i="5"/>
  <c r="R21" i="5"/>
  <c r="R17" i="5"/>
  <c r="R13" i="5"/>
  <c r="R9" i="5"/>
  <c r="R5" i="5"/>
  <c r="R60" i="5"/>
  <c r="R56" i="5"/>
  <c r="R52" i="5"/>
  <c r="R48" i="5"/>
  <c r="R44" i="5"/>
  <c r="R40" i="5"/>
  <c r="R32" i="5"/>
  <c r="R28" i="5"/>
  <c r="R24" i="5"/>
  <c r="R20" i="5"/>
  <c r="R16" i="5"/>
  <c r="R12" i="5"/>
  <c r="R4" i="5"/>
  <c r="R63" i="5"/>
  <c r="R59" i="5"/>
  <c r="R55" i="5"/>
  <c r="R51" i="5"/>
  <c r="R47" i="5"/>
  <c r="R43" i="5"/>
  <c r="R39" i="5"/>
  <c r="R35" i="5"/>
  <c r="R31" i="5"/>
  <c r="R27" i="5"/>
  <c r="R23" i="5"/>
  <c r="R19" i="5"/>
  <c r="R15" i="5"/>
  <c r="R11" i="5"/>
  <c r="R7" i="5"/>
  <c r="P67" i="5"/>
  <c r="R62" i="5"/>
  <c r="R58" i="5"/>
  <c r="R54" i="5"/>
  <c r="R50" i="5"/>
  <c r="R46" i="5"/>
  <c r="R42" i="5"/>
  <c r="R38" i="5"/>
  <c r="R34" i="5"/>
  <c r="R30" i="5"/>
  <c r="R26" i="5"/>
  <c r="R22" i="5"/>
  <c r="R18" i="5"/>
  <c r="R10" i="5"/>
  <c r="R6" i="5"/>
  <c r="R61" i="5"/>
  <c r="R57" i="5"/>
  <c r="R53" i="5"/>
  <c r="R49" i="5"/>
  <c r="R45" i="5"/>
  <c r="R41" i="5"/>
  <c r="R37" i="5"/>
  <c r="Q30" i="2"/>
  <c r="I8" i="5"/>
  <c r="I65" i="5" s="1"/>
  <c r="N33" i="3"/>
  <c r="N14" i="3"/>
  <c r="Q31" i="2"/>
  <c r="D37" i="2"/>
  <c r="E37" i="2" s="1"/>
  <c r="F37" i="2" s="1"/>
  <c r="G37" i="2" s="1"/>
  <c r="H37" i="2" s="1"/>
  <c r="I37" i="2" s="1"/>
  <c r="J37" i="2" s="1"/>
  <c r="K37" i="2" s="1"/>
  <c r="L37" i="2" s="1"/>
  <c r="M37" i="2" s="1"/>
  <c r="N37" i="2" s="1"/>
  <c r="O37" i="2" s="1"/>
  <c r="E30" i="3"/>
  <c r="E8" i="3"/>
  <c r="R9" i="2"/>
  <c r="D8" i="4"/>
  <c r="D32" i="2"/>
  <c r="D37" i="3"/>
  <c r="J8" i="3"/>
  <c r="J31" i="3" s="1"/>
  <c r="Q44" i="5"/>
  <c r="D8" i="5"/>
  <c r="Q14" i="5"/>
  <c r="P14" i="5"/>
  <c r="R14" i="5" s="1"/>
  <c r="R18" i="3"/>
  <c r="R62" i="6"/>
  <c r="R58" i="6"/>
  <c r="R54" i="6"/>
  <c r="R50" i="6"/>
  <c r="R46" i="6"/>
  <c r="R42" i="6"/>
  <c r="R55" i="6"/>
  <c r="R37" i="6"/>
  <c r="R30" i="6"/>
  <c r="R59" i="6"/>
  <c r="R41" i="6"/>
  <c r="P69" i="6"/>
  <c r="R63" i="6"/>
  <c r="R45" i="6"/>
  <c r="R26" i="6"/>
  <c r="R22" i="6"/>
  <c r="R18" i="6"/>
  <c r="R13" i="6"/>
  <c r="R9" i="6"/>
  <c r="R4" i="6"/>
  <c r="R57" i="6"/>
  <c r="R35" i="6"/>
  <c r="R16" i="6"/>
  <c r="R36" i="6"/>
  <c r="R40" i="6"/>
  <c r="R49" i="6"/>
  <c r="R12" i="6"/>
  <c r="R7" i="6"/>
  <c r="R53" i="6"/>
  <c r="R44" i="6"/>
  <c r="R29" i="6"/>
  <c r="R25" i="6"/>
  <c r="R21" i="6"/>
  <c r="R17" i="6"/>
  <c r="R65" i="6"/>
  <c r="R52" i="6"/>
  <c r="R43" i="6"/>
  <c r="R24" i="6"/>
  <c r="R61" i="6"/>
  <c r="R48" i="6"/>
  <c r="R39" i="6"/>
  <c r="R28" i="6"/>
  <c r="R56" i="6"/>
  <c r="R34" i="6"/>
  <c r="R60" i="6"/>
  <c r="R47" i="6"/>
  <c r="R38" i="6"/>
  <c r="R10" i="6"/>
  <c r="R5" i="6"/>
  <c r="R20" i="6"/>
  <c r="R11" i="6"/>
  <c r="R64" i="6"/>
  <c r="R51" i="6"/>
  <c r="R33" i="6"/>
  <c r="R27" i="6"/>
  <c r="R23" i="6"/>
  <c r="R19" i="6"/>
  <c r="R15" i="6"/>
  <c r="R6" i="6"/>
  <c r="Q36" i="5"/>
  <c r="Q33" i="3"/>
  <c r="P17" i="3"/>
  <c r="P14" i="6"/>
  <c r="R14" i="6" s="1"/>
  <c r="Q14" i="6"/>
  <c r="D8" i="6"/>
  <c r="Q17" i="3"/>
  <c r="Q33" i="4"/>
  <c r="R19" i="3"/>
  <c r="P30" i="2"/>
  <c r="Q8" i="2"/>
  <c r="K66" i="6"/>
  <c r="K68" i="6" s="1"/>
  <c r="P64" i="5" l="1"/>
  <c r="R64" i="5" s="1"/>
  <c r="Q64" i="5"/>
  <c r="Q8" i="5"/>
  <c r="P8" i="5"/>
  <c r="R8" i="5" s="1"/>
  <c r="D65" i="5"/>
  <c r="E31" i="3"/>
  <c r="Q8" i="6"/>
  <c r="P8" i="6"/>
  <c r="R8" i="6" s="1"/>
  <c r="D67" i="6"/>
  <c r="Q8" i="4"/>
  <c r="D31" i="4"/>
  <c r="Q31" i="4" s="1"/>
  <c r="N30" i="3"/>
  <c r="Q14" i="3"/>
  <c r="N8" i="3"/>
  <c r="N31" i="3" s="1"/>
  <c r="P14" i="3"/>
  <c r="R14" i="4"/>
  <c r="P8" i="4"/>
  <c r="P30" i="4"/>
  <c r="D32" i="4"/>
  <c r="Q32" i="4" s="1"/>
  <c r="Q30" i="4"/>
  <c r="R17" i="3"/>
  <c r="P33" i="3"/>
  <c r="R30" i="2"/>
  <c r="P32" i="2"/>
  <c r="E37" i="3"/>
  <c r="F37" i="3" s="1"/>
  <c r="G37" i="3" s="1"/>
  <c r="H37" i="3" s="1"/>
  <c r="I37" i="3" s="1"/>
  <c r="J37" i="3" s="1"/>
  <c r="K37" i="3" s="1"/>
  <c r="L37" i="3" s="1"/>
  <c r="M37" i="3" s="1"/>
  <c r="N37" i="3" s="1"/>
  <c r="O37" i="3" s="1"/>
  <c r="D37" i="4" s="1"/>
  <c r="E37" i="4" s="1"/>
  <c r="F37" i="4" s="1"/>
  <c r="G37" i="4" s="1"/>
  <c r="H37" i="4" s="1"/>
  <c r="I37" i="4" s="1"/>
  <c r="J37" i="4" s="1"/>
  <c r="K37" i="4" s="1"/>
  <c r="L37" i="4" s="1"/>
  <c r="M37" i="4" s="1"/>
  <c r="N37" i="4" s="1"/>
  <c r="O37" i="4" s="1"/>
  <c r="Q68" i="6"/>
  <c r="P66" i="6"/>
  <c r="Q66" i="6"/>
  <c r="D71" i="5" l="1"/>
  <c r="E71" i="5" s="1"/>
  <c r="F71" i="5" s="1"/>
  <c r="G71" i="5" s="1"/>
  <c r="H71" i="5" s="1"/>
  <c r="I71" i="5" s="1"/>
  <c r="J71" i="5" s="1"/>
  <c r="K71" i="5" s="1"/>
  <c r="L71" i="5" s="1"/>
  <c r="M71" i="5" s="1"/>
  <c r="N71" i="5" s="1"/>
  <c r="O71" i="5" s="1"/>
  <c r="D73" i="6" s="1"/>
  <c r="E73" i="6" s="1"/>
  <c r="F73" i="6" s="1"/>
  <c r="G73" i="6" s="1"/>
  <c r="H73" i="6" s="1"/>
  <c r="I73" i="6" s="1"/>
  <c r="J73" i="6" s="1"/>
  <c r="K73" i="6" s="1"/>
  <c r="L73" i="6" s="1"/>
  <c r="M73" i="6" s="1"/>
  <c r="N73" i="6" s="1"/>
  <c r="O73" i="6" s="1"/>
  <c r="P66" i="5"/>
  <c r="P68" i="6"/>
  <c r="R66" i="6"/>
  <c r="P67" i="6"/>
  <c r="R67" i="6" s="1"/>
  <c r="Q67" i="6"/>
  <c r="R30" i="4"/>
  <c r="P32" i="4"/>
  <c r="P8" i="3"/>
  <c r="R14" i="3"/>
  <c r="P30" i="3"/>
  <c r="Q8" i="3"/>
  <c r="Q31" i="3"/>
  <c r="P65" i="5"/>
  <c r="R65" i="5" s="1"/>
  <c r="Q65" i="5"/>
  <c r="N32" i="3"/>
  <c r="Q32" i="3" s="1"/>
  <c r="Q30" i="3"/>
  <c r="P31" i="4"/>
  <c r="R31" i="4" s="1"/>
  <c r="R8" i="4"/>
  <c r="P31" i="3" l="1"/>
  <c r="R31" i="3" s="1"/>
  <c r="R8" i="3"/>
  <c r="R30" i="3"/>
  <c r="P32" i="3"/>
</calcChain>
</file>

<file path=xl/sharedStrings.xml><?xml version="1.0" encoding="utf-8"?>
<sst xmlns="http://schemas.openxmlformats.org/spreadsheetml/2006/main" count="318" uniqueCount="89">
  <si>
    <t>в тенге</t>
  </si>
  <si>
    <t>ОБЪЁМЫ ДЕЯТЕЛЬНОСТИ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</si>
  <si>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</si>
  <si>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</si>
  <si>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</si>
  <si>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</si>
  <si>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</si>
  <si>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</si>
  <si>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</si>
  <si>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</si>
  <si>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</si>
  <si>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</si>
  <si>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</si>
  <si>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</si>
  <si>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Год</t>
  </si>
  <si>
    <t>Среднее</t>
  </si>
  <si>
    <t>% от суммы доходов</t>
  </si>
  <si>
    <t>ДОХОДЫ тенге</t>
  </si>
  <si>
    <t>Кухня</t>
  </si>
  <si>
    <t>Бар</t>
  </si>
  <si>
    <t>Кальян</t>
  </si>
  <si>
    <t>Прочее</t>
  </si>
  <si>
    <t>РАСХОДЫ тенге</t>
  </si>
  <si>
    <t>CapEx (инвестиции)</t>
  </si>
  <si>
    <t xml:space="preserve">Паушальный взнос </t>
  </si>
  <si>
    <t>Ремонт</t>
  </si>
  <si>
    <t>Мебель и техника</t>
  </si>
  <si>
    <t>CAPEX прочее</t>
  </si>
  <si>
    <t>OpEx (ежемесячные расходы)</t>
  </si>
  <si>
    <t>ФОТ</t>
  </si>
  <si>
    <t>ФОТ Менеджмент</t>
  </si>
  <si>
    <t>ФОТ Кухня</t>
  </si>
  <si>
    <t>ФОТ Бар</t>
  </si>
  <si>
    <t>ФОТ Дымный коктейль</t>
  </si>
  <si>
    <t>ФОТ Зал</t>
  </si>
  <si>
    <t>Развозка</t>
  </si>
  <si>
    <t>ФОТ Прочее</t>
  </si>
  <si>
    <t>Food cost</t>
  </si>
  <si>
    <t>Закуп кухня</t>
  </si>
  <si>
    <t>Закуп бар</t>
  </si>
  <si>
    <t>Закуп кальян</t>
  </si>
  <si>
    <t>Маркетинг</t>
  </si>
  <si>
    <t>СММ</t>
  </si>
  <si>
    <t>Таргет</t>
  </si>
  <si>
    <t>2ГИС</t>
  </si>
  <si>
    <t>Маркетинг прочее</t>
  </si>
  <si>
    <t>Аренда</t>
  </si>
  <si>
    <t>Аренда помещения</t>
  </si>
  <si>
    <t>Аренда склада и кровли</t>
  </si>
  <si>
    <t>Налог на недвижимость</t>
  </si>
  <si>
    <t>Коммунальные платежи</t>
  </si>
  <si>
    <t>Электричество</t>
  </si>
  <si>
    <t>Водоснабжение</t>
  </si>
  <si>
    <t>Отопление</t>
  </si>
  <si>
    <t>BI Service</t>
  </si>
  <si>
    <t>Интернет и связь</t>
  </si>
  <si>
    <t>Вывоз мусора</t>
  </si>
  <si>
    <t>Ком услуги прочее</t>
  </si>
  <si>
    <t>OpEx прочее</t>
  </si>
  <si>
    <t>Хозтовары</t>
  </si>
  <si>
    <t>Комиссий банка</t>
  </si>
  <si>
    <t>Система безопасности</t>
  </si>
  <si>
    <t>Программное обеспечение</t>
  </si>
  <si>
    <t>Меню</t>
  </si>
  <si>
    <t xml:space="preserve">Дератизация/дезинсекция </t>
  </si>
  <si>
    <t>Чистка жироуловителей</t>
  </si>
  <si>
    <t>Мелкий ремонт</t>
  </si>
  <si>
    <t>Форма для персонала</t>
  </si>
  <si>
    <t>Авторские права на музыку</t>
  </si>
  <si>
    <t>Роялти</t>
  </si>
  <si>
    <t>Налоги</t>
  </si>
  <si>
    <t>Розничный налог</t>
  </si>
  <si>
    <t>Налоги по зарплате</t>
  </si>
  <si>
    <t>Страхование сотрудников</t>
  </si>
  <si>
    <t>Лицензия на алкоголь</t>
  </si>
  <si>
    <t>Лицензия на дымный коктейль</t>
  </si>
  <si>
    <t>Налоги прочее</t>
  </si>
  <si>
    <t>Операционная прибыль 
(Доходы - OpEx)</t>
  </si>
  <si>
    <t>Чистая прибыль</t>
  </si>
  <si>
    <t>Маржа (от опер. прибыли)</t>
  </si>
  <si>
    <t>Food cost в %</t>
  </si>
  <si>
    <t>Окупаемость проекта</t>
  </si>
  <si>
    <t>Общая сумма</t>
  </si>
  <si>
    <t>Закуп</t>
  </si>
  <si>
    <t>Коммуслуги</t>
  </si>
  <si>
    <t>Software</t>
  </si>
  <si>
    <t>Себестоимость</t>
  </si>
  <si>
    <t>Яндекс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</si>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</sst>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1"/>
      <color theme="1"/>
      <name val="Calibri"/>
      <family val="2"/>
      <charset val="1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i/>
      <sz val="10"/>
      <name val="Times New Roman"/>
      <family val="1"/>
      <charset val="204"/>
    </font>
    <font>
      <i/>
      <sz val="10"/>
      <name val="Times New Roman"/>
      <family val="1"/>
      <charset val="1"/>
    </font>
    <font>
      <b/>
      <sz val="10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1"/>
    </font>
    <font>
      <i/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i/>
      <sz val="10"/>
      <color rgb="FFFF0000"/>
      <name val="Times New Roman"/>
      <family val="1"/>
      <charset val="1"/>
    </font>
    <font>
      <sz val="10"/>
      <color rgb="FFFF0000"/>
      <name val="Times New Roman"/>
      <family val="1"/>
      <charset val="1"/>
    </font>
    <font>
      <i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1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Times New Roman"/>
      <family val="1"/>
      <charset val="1"/>
    </font>
    <font>
      <i/>
      <sz val="10"/>
      <color rgb="FFFF0000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theme="8" tint="0.39979247413556324"/>
        <bgColor rgb="FFA9D18E"/>
      </patternFill>
    </fill>
    <fill>
      <patternFill patternType="solid">
        <fgColor theme="9" tint="0.39979247413556324"/>
        <bgColor rgb="FFC5E0B4"/>
      </patternFill>
    </fill>
    <fill>
      <patternFill patternType="solid">
        <fgColor theme="9" tint="0.59978026673177287"/>
        <bgColor rgb="FFD9D9D9"/>
      </patternFill>
    </fill>
    <fill>
      <patternFill patternType="solid">
        <fgColor theme="7" tint="0.39979247413556324"/>
        <bgColor rgb="FFFFE699"/>
      </patternFill>
    </fill>
    <fill>
      <patternFill patternType="solid">
        <fgColor theme="7" tint="0.59978026673177287"/>
        <bgColor rgb="FFFFF2CC"/>
      </patternFill>
    </fill>
    <fill>
      <patternFill patternType="solid">
        <fgColor theme="7" tint="0.79979857783745845"/>
        <bgColor rgb="FFFFE699"/>
      </patternFill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A9D18E"/>
      </patternFill>
    </fill>
    <fill>
      <patternFill patternType="solid">
        <fgColor theme="0" tint="-0.14999847407452621"/>
        <bgColor rgb="FFC5E0B4"/>
      </patternFill>
    </fill>
    <fill>
      <patternFill patternType="solid">
        <fgColor rgb="FFFFC000"/>
        <bgColor rgb="FFFF9900"/>
      </patternFill>
    </fill>
    <fill>
      <patternFill patternType="solid">
        <fgColor theme="5" tint="0.39997558519241921"/>
        <bgColor rgb="FFFFE699"/>
      </patternFill>
    </fill>
    <fill>
      <patternFill patternType="solid">
        <fgColor theme="5" tint="0.39997558519241921"/>
        <b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2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3" fontId="3" fillId="0" borderId="0" xfId="0" applyNumberFormat="1" applyFont="1" applyProtection="1">
      <protection locked="0"/>
    </xf>
    <xf numFmtId="3" fontId="4" fillId="0" borderId="0" xfId="0" applyNumberFormat="1" applyFont="1" applyProtection="1">
      <protection locked="0"/>
    </xf>
    <xf numFmtId="0" fontId="4" fillId="2" borderId="1" xfId="0" applyFont="1" applyFill="1" applyBorder="1" applyAlignment="1">
      <alignment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4" fontId="5" fillId="3" borderId="1" xfId="0" applyNumberFormat="1" applyFont="1" applyFill="1" applyBorder="1" applyAlignment="1">
      <alignment vertical="center" wrapText="1"/>
    </xf>
    <xf numFmtId="4" fontId="4" fillId="3" borderId="1" xfId="0" applyNumberFormat="1" applyFont="1" applyFill="1" applyBorder="1" applyAlignment="1">
      <alignment vertical="center" wrapText="1"/>
    </xf>
    <xf numFmtId="10" fontId="4" fillId="3" borderId="1" xfId="0" applyNumberFormat="1" applyFont="1" applyFill="1" applyBorder="1" applyAlignment="1" applyProtection="1">
      <alignment horizontal="right" vertical="center" wrapText="1"/>
      <protection locked="0"/>
    </xf>
    <xf numFmtId="0" fontId="4" fillId="4" borderId="1" xfId="0" applyFont="1" applyFill="1" applyBorder="1" applyAlignment="1">
      <alignment vertical="center" wrapText="1"/>
    </xf>
    <xf numFmtId="4" fontId="6" fillId="4" borderId="1" xfId="0" applyNumberFormat="1" applyFont="1" applyFill="1" applyBorder="1" applyAlignment="1" applyProtection="1">
      <alignment horizontal="right" vertical="center" wrapText="1"/>
      <protection locked="0"/>
    </xf>
    <xf numFmtId="4" fontId="6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vertical="center" wrapText="1"/>
    </xf>
    <xf numFmtId="10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vertical="center" wrapText="1"/>
    </xf>
    <xf numFmtId="4" fontId="5" fillId="5" borderId="1" xfId="0" applyNumberFormat="1" applyFont="1" applyFill="1" applyBorder="1" applyAlignment="1">
      <alignment horizontal="right" vertical="center" wrapText="1"/>
    </xf>
    <xf numFmtId="4" fontId="4" fillId="5" borderId="1" xfId="0" applyNumberFormat="1" applyFont="1" applyFill="1" applyBorder="1" applyAlignment="1">
      <alignment vertical="center" wrapText="1"/>
    </xf>
    <xf numFmtId="10" fontId="4" fillId="5" borderId="1" xfId="0" applyNumberFormat="1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vertical="center" wrapText="1"/>
    </xf>
    <xf numFmtId="4" fontId="5" fillId="6" borderId="1" xfId="0" applyNumberFormat="1" applyFont="1" applyFill="1" applyBorder="1" applyAlignment="1">
      <alignment horizontal="right" vertical="center" wrapText="1"/>
    </xf>
    <xf numFmtId="4" fontId="4" fillId="6" borderId="1" xfId="0" applyNumberFormat="1" applyFont="1" applyFill="1" applyBorder="1" applyAlignment="1">
      <alignment vertical="center" wrapText="1"/>
    </xf>
    <xf numFmtId="10" fontId="4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 wrapText="1"/>
    </xf>
    <xf numFmtId="4" fontId="6" fillId="7" borderId="1" xfId="0" applyNumberFormat="1" applyFont="1" applyFill="1" applyBorder="1" applyAlignment="1" applyProtection="1">
      <alignment horizontal="right" vertical="center" wrapText="1"/>
      <protection locked="0"/>
    </xf>
    <xf numFmtId="4" fontId="6" fillId="7" borderId="1" xfId="0" applyNumberFormat="1" applyFont="1" applyFill="1" applyBorder="1" applyAlignment="1">
      <alignment horizontal="right" vertical="center" wrapText="1"/>
    </xf>
    <xf numFmtId="4" fontId="4" fillId="7" borderId="1" xfId="0" applyNumberFormat="1" applyFont="1" applyFill="1" applyBorder="1" applyAlignment="1">
      <alignment vertical="center" wrapText="1"/>
    </xf>
    <xf numFmtId="10" fontId="4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 wrapText="1"/>
    </xf>
    <xf numFmtId="10" fontId="0" fillId="0" borderId="0" xfId="0" applyNumberFormat="1" applyProtection="1">
      <protection locked="0"/>
    </xf>
    <xf numFmtId="0" fontId="7" fillId="0" borderId="1" xfId="0" applyFont="1" applyBorder="1" applyAlignment="1">
      <alignment horizontal="right" vertical="top" wrapText="1"/>
    </xf>
    <xf numFmtId="4" fontId="6" fillId="8" borderId="1" xfId="0" applyNumberFormat="1" applyFont="1" applyFill="1" applyBorder="1" applyAlignment="1" applyProtection="1">
      <alignment horizontal="right" vertical="center" wrapText="1"/>
      <protection locked="0"/>
    </xf>
    <xf numFmtId="4" fontId="6" fillId="0" borderId="1" xfId="0" applyNumberFormat="1" applyFont="1" applyBorder="1" applyAlignment="1" applyProtection="1">
      <alignment horizontal="right" vertical="center" wrapText="1"/>
      <protection locked="0"/>
    </xf>
    <xf numFmtId="0" fontId="4" fillId="7" borderId="1" xfId="0" applyFont="1" applyFill="1" applyBorder="1" applyAlignment="1">
      <alignment horizontal="left" vertical="center" wrapText="1"/>
    </xf>
    <xf numFmtId="10" fontId="2" fillId="0" borderId="0" xfId="0" applyNumberFormat="1" applyFont="1" applyProtection="1">
      <protection locked="0"/>
    </xf>
    <xf numFmtId="0" fontId="8" fillId="0" borderId="1" xfId="0" applyFont="1" applyBorder="1" applyAlignment="1">
      <alignment horizontal="right" vertical="center" wrapText="1"/>
    </xf>
    <xf numFmtId="4" fontId="8" fillId="0" borderId="1" xfId="0" applyNumberFormat="1" applyFont="1" applyBorder="1" applyAlignment="1" applyProtection="1">
      <alignment horizontal="right" vertical="center" wrapText="1"/>
      <protection locked="0"/>
    </xf>
    <xf numFmtId="4" fontId="7" fillId="8" borderId="1" xfId="0" applyNumberFormat="1" applyFont="1" applyFill="1" applyBorder="1" applyAlignment="1" applyProtection="1">
      <alignment horizontal="right" vertical="center" wrapText="1"/>
      <protection locked="0"/>
    </xf>
    <xf numFmtId="4" fontId="8" fillId="7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4" fontId="7" fillId="0" borderId="1" xfId="0" applyNumberFormat="1" applyFont="1" applyBorder="1" applyAlignment="1" applyProtection="1">
      <alignment horizontal="right" vertical="center" wrapText="1"/>
      <protection locked="0"/>
    </xf>
    <xf numFmtId="4" fontId="7" fillId="7" borderId="1" xfId="0" applyNumberFormat="1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vertical="center" wrapText="1"/>
    </xf>
    <xf numFmtId="4" fontId="9" fillId="2" borderId="1" xfId="0" applyNumberFormat="1" applyFont="1" applyFill="1" applyBorder="1" applyAlignment="1">
      <alignment horizontal="right" vertical="center" wrapText="1"/>
    </xf>
    <xf numFmtId="4" fontId="4" fillId="2" borderId="1" xfId="0" applyNumberFormat="1" applyFont="1" applyFill="1" applyBorder="1" applyAlignment="1">
      <alignment vertical="center" wrapText="1"/>
    </xf>
    <xf numFmtId="10" fontId="9" fillId="2" borderId="1" xfId="0" applyNumberFormat="1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vertical="center" wrapText="1"/>
    </xf>
    <xf numFmtId="9" fontId="9" fillId="2" borderId="1" xfId="0" applyNumberFormat="1" applyFont="1" applyFill="1" applyBorder="1" applyAlignment="1">
      <alignment horizontal="right" vertical="center" wrapText="1"/>
    </xf>
    <xf numFmtId="9" fontId="4" fillId="2" borderId="1" xfId="0" applyNumberFormat="1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right" vertical="center" wrapText="1"/>
    </xf>
    <xf numFmtId="9" fontId="12" fillId="2" borderId="1" xfId="0" applyNumberFormat="1" applyFont="1" applyFill="1" applyBorder="1" applyAlignment="1">
      <alignment horizontal="right" vertical="center" wrapText="1"/>
    </xf>
    <xf numFmtId="10" fontId="12" fillId="2" borderId="1" xfId="0" applyNumberFormat="1" applyFont="1" applyFill="1" applyBorder="1" applyAlignment="1">
      <alignment horizontal="right" vertical="center" wrapText="1"/>
    </xf>
    <xf numFmtId="4" fontId="9" fillId="2" borderId="1" xfId="0" applyNumberFormat="1" applyFont="1" applyFill="1" applyBorder="1" applyAlignment="1">
      <alignment vertical="center" wrapText="1"/>
    </xf>
    <xf numFmtId="10" fontId="9" fillId="2" borderId="1" xfId="0" applyNumberFormat="1" applyFont="1" applyFill="1" applyBorder="1" applyAlignment="1">
      <alignment vertical="center" wrapText="1"/>
    </xf>
    <xf numFmtId="0" fontId="2" fillId="0" borderId="0" xfId="0" applyFont="1"/>
    <xf numFmtId="3" fontId="3" fillId="0" borderId="0" xfId="0" applyNumberFormat="1" applyFont="1"/>
    <xf numFmtId="3" fontId="4" fillId="0" borderId="0" xfId="0" applyNumberFormat="1" applyFont="1"/>
    <xf numFmtId="1" fontId="4" fillId="2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 wrapText="1"/>
    </xf>
    <xf numFmtId="4" fontId="5" fillId="10" borderId="1" xfId="0" applyNumberFormat="1" applyFont="1" applyFill="1" applyBorder="1" applyAlignment="1">
      <alignment vertical="center" wrapText="1"/>
    </xf>
    <xf numFmtId="4" fontId="4" fillId="10" borderId="1" xfId="0" applyNumberFormat="1" applyFont="1" applyFill="1" applyBorder="1" applyAlignment="1">
      <alignment vertical="center" wrapText="1"/>
    </xf>
    <xf numFmtId="4" fontId="4" fillId="10" borderId="1" xfId="0" applyNumberFormat="1" applyFont="1" applyFill="1" applyBorder="1" applyAlignment="1">
      <alignment vertical="top" wrapText="1"/>
    </xf>
    <xf numFmtId="10" fontId="4" fillId="10" borderId="1" xfId="0" applyNumberFormat="1" applyFont="1" applyFill="1" applyBorder="1" applyAlignment="1">
      <alignment horizontal="right" wrapText="1"/>
    </xf>
    <xf numFmtId="0" fontId="6" fillId="0" borderId="1" xfId="0" applyFont="1" applyBorder="1" applyAlignment="1">
      <alignment vertical="center" wrapText="1"/>
    </xf>
    <xf numFmtId="4" fontId="6" fillId="0" borderId="1" xfId="0" applyNumberFormat="1" applyFont="1" applyBorder="1" applyAlignment="1">
      <alignment horizontal="right" vertical="center" wrapText="1"/>
    </xf>
    <xf numFmtId="4" fontId="4" fillId="11" borderId="1" xfId="0" applyNumberFormat="1" applyFont="1" applyFill="1" applyBorder="1" applyAlignment="1">
      <alignment horizontal="right" vertical="center" wrapText="1"/>
    </xf>
    <xf numFmtId="4" fontId="4" fillId="11" borderId="1" xfId="0" applyNumberFormat="1" applyFont="1" applyFill="1" applyBorder="1" applyAlignment="1">
      <alignment horizontal="right" wrapText="1"/>
    </xf>
    <xf numFmtId="10" fontId="4" fillId="11" borderId="1" xfId="0" applyNumberFormat="1" applyFont="1" applyFill="1" applyBorder="1" applyAlignment="1">
      <alignment horizontal="right" wrapText="1"/>
    </xf>
    <xf numFmtId="0" fontId="4" fillId="12" borderId="1" xfId="0" applyFont="1" applyFill="1" applyBorder="1" applyAlignment="1">
      <alignment vertical="center" wrapText="1"/>
    </xf>
    <xf numFmtId="4" fontId="5" fillId="12" borderId="1" xfId="0" applyNumberFormat="1" applyFont="1" applyFill="1" applyBorder="1" applyAlignment="1">
      <alignment horizontal="right" vertical="center" wrapText="1"/>
    </xf>
    <xf numFmtId="4" fontId="4" fillId="12" borderId="1" xfId="0" applyNumberFormat="1" applyFont="1" applyFill="1" applyBorder="1" applyAlignment="1">
      <alignment horizontal="right" vertical="center" wrapText="1"/>
    </xf>
    <xf numFmtId="4" fontId="4" fillId="12" borderId="1" xfId="0" applyNumberFormat="1" applyFont="1" applyFill="1" applyBorder="1" applyAlignment="1">
      <alignment horizontal="right" vertical="top" wrapText="1"/>
    </xf>
    <xf numFmtId="10" fontId="4" fillId="12" borderId="1" xfId="0" applyNumberFormat="1" applyFont="1" applyFill="1" applyBorder="1" applyAlignment="1">
      <alignment horizontal="right" vertical="top" wrapText="1"/>
    </xf>
    <xf numFmtId="0" fontId="4" fillId="9" borderId="1" xfId="0" applyFont="1" applyFill="1" applyBorder="1" applyAlignment="1">
      <alignment vertical="center" wrapText="1"/>
    </xf>
    <xf numFmtId="4" fontId="5" fillId="9" borderId="1" xfId="0" applyNumberFormat="1" applyFont="1" applyFill="1" applyBorder="1" applyAlignment="1">
      <alignment horizontal="right" vertical="center" wrapText="1"/>
    </xf>
    <xf numFmtId="4" fontId="4" fillId="9" borderId="1" xfId="0" applyNumberFormat="1" applyFont="1" applyFill="1" applyBorder="1" applyAlignment="1">
      <alignment horizontal="right" vertical="center" wrapText="1"/>
    </xf>
    <xf numFmtId="4" fontId="4" fillId="9" borderId="1" xfId="0" applyNumberFormat="1" applyFont="1" applyFill="1" applyBorder="1" applyAlignment="1">
      <alignment horizontal="right" vertical="top" wrapText="1"/>
    </xf>
    <xf numFmtId="10" fontId="4" fillId="9" borderId="1" xfId="0" applyNumberFormat="1" applyFont="1" applyFill="1" applyBorder="1" applyAlignment="1">
      <alignment horizontal="right" vertical="center"/>
    </xf>
    <xf numFmtId="4" fontId="4" fillId="11" borderId="1" xfId="0" applyNumberFormat="1" applyFont="1" applyFill="1" applyBorder="1" applyAlignment="1">
      <alignment horizontal="right" vertical="center"/>
    </xf>
    <xf numFmtId="4" fontId="4" fillId="11" borderId="1" xfId="0" applyNumberFormat="1" applyFont="1" applyFill="1" applyBorder="1" applyAlignment="1">
      <alignment horizontal="right"/>
    </xf>
    <xf numFmtId="10" fontId="4" fillId="11" borderId="1" xfId="0" applyNumberFormat="1" applyFont="1" applyFill="1" applyBorder="1" applyAlignment="1">
      <alignment horizontal="right"/>
    </xf>
    <xf numFmtId="4" fontId="8" fillId="0" borderId="1" xfId="0" applyNumberFormat="1" applyFont="1" applyBorder="1" applyAlignment="1">
      <alignment horizontal="right" vertical="center" wrapText="1"/>
    </xf>
    <xf numFmtId="4" fontId="4" fillId="9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vertical="center" wrapText="1"/>
    </xf>
    <xf numFmtId="4" fontId="6" fillId="8" borderId="1" xfId="0" applyNumberFormat="1" applyFont="1" applyFill="1" applyBorder="1" applyAlignment="1">
      <alignment horizontal="right" vertical="center" wrapText="1"/>
    </xf>
    <xf numFmtId="0" fontId="6" fillId="11" borderId="1" xfId="0" applyFont="1" applyFill="1" applyBorder="1" applyAlignment="1">
      <alignment horizontal="left" vertical="center" wrapText="1"/>
    </xf>
    <xf numFmtId="4" fontId="6" fillId="11" borderId="1" xfId="0" applyNumberFormat="1" applyFont="1" applyFill="1" applyBorder="1" applyAlignment="1">
      <alignment horizontal="right" vertical="center" wrapText="1"/>
    </xf>
    <xf numFmtId="4" fontId="13" fillId="0" borderId="1" xfId="0" applyNumberFormat="1" applyFont="1" applyBorder="1" applyAlignment="1" applyProtection="1">
      <alignment horizontal="right" vertical="center" wrapText="1"/>
      <protection locked="0"/>
    </xf>
    <xf numFmtId="4" fontId="8" fillId="11" borderId="1" xfId="0" applyNumberFormat="1" applyFont="1" applyFill="1" applyBorder="1" applyAlignment="1">
      <alignment horizontal="right" vertical="center"/>
    </xf>
    <xf numFmtId="4" fontId="8" fillId="11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left" vertical="center" wrapText="1"/>
    </xf>
    <xf numFmtId="4" fontId="14" fillId="8" borderId="1" xfId="0" applyNumberFormat="1" applyFont="1" applyFill="1" applyBorder="1" applyAlignment="1" applyProtection="1">
      <alignment horizontal="right" vertical="center" wrapText="1"/>
      <protection locked="0"/>
    </xf>
    <xf numFmtId="4" fontId="6" fillId="8" borderId="1" xfId="0" applyNumberFormat="1" applyFont="1" applyFill="1" applyBorder="1" applyAlignment="1">
      <alignment vertical="center" wrapText="1"/>
    </xf>
    <xf numFmtId="4" fontId="6" fillId="0" borderId="1" xfId="0" applyNumberFormat="1" applyFont="1" applyBorder="1" applyAlignment="1">
      <alignment vertical="center" wrapText="1"/>
    </xf>
    <xf numFmtId="4" fontId="9" fillId="2" borderId="1" xfId="0" applyNumberFormat="1" applyFont="1" applyFill="1" applyBorder="1" applyAlignment="1">
      <alignment horizontal="right" wrapText="1"/>
    </xf>
    <xf numFmtId="10" fontId="9" fillId="2" borderId="1" xfId="0" applyNumberFormat="1" applyFont="1" applyFill="1" applyBorder="1" applyAlignment="1">
      <alignment horizontal="right" wrapText="1"/>
    </xf>
    <xf numFmtId="10" fontId="4" fillId="10" borderId="1" xfId="0" applyNumberFormat="1" applyFont="1" applyFill="1" applyBorder="1" applyAlignment="1">
      <alignment horizontal="right" vertical="center" wrapText="1"/>
    </xf>
    <xf numFmtId="10" fontId="4" fillId="11" borderId="1" xfId="0" applyNumberFormat="1" applyFont="1" applyFill="1" applyBorder="1" applyAlignment="1">
      <alignment horizontal="right" vertical="center" wrapText="1"/>
    </xf>
    <xf numFmtId="10" fontId="4" fillId="12" borderId="1" xfId="0" applyNumberFormat="1" applyFont="1" applyFill="1" applyBorder="1" applyAlignment="1">
      <alignment horizontal="right" vertical="center" wrapText="1"/>
    </xf>
    <xf numFmtId="10" fontId="4" fillId="11" borderId="1" xfId="0" applyNumberFormat="1" applyFont="1" applyFill="1" applyBorder="1" applyAlignment="1">
      <alignment horizontal="right" vertical="center"/>
    </xf>
    <xf numFmtId="4" fontId="7" fillId="11" borderId="1" xfId="0" applyNumberFormat="1" applyFont="1" applyFill="1" applyBorder="1" applyAlignment="1">
      <alignment horizontal="right" vertical="center"/>
    </xf>
    <xf numFmtId="10" fontId="0" fillId="0" borderId="0" xfId="0" applyNumberFormat="1"/>
    <xf numFmtId="10" fontId="2" fillId="0" borderId="0" xfId="0" applyNumberFormat="1" applyFont="1"/>
    <xf numFmtId="4" fontId="6" fillId="8" borderId="1" xfId="0" applyNumberFormat="1" applyFont="1" applyFill="1" applyBorder="1" applyAlignment="1" applyProtection="1">
      <alignment vertical="center" wrapText="1"/>
      <protection locked="0"/>
    </xf>
    <xf numFmtId="4" fontId="6" fillId="0" borderId="1" xfId="0" applyNumberFormat="1" applyFont="1" applyBorder="1" applyAlignment="1" applyProtection="1">
      <alignment vertical="center" wrapText="1"/>
      <protection locked="0"/>
    </xf>
    <xf numFmtId="4" fontId="7" fillId="7" borderId="1" xfId="0" applyNumberFormat="1" applyFont="1" applyFill="1" applyBorder="1" applyAlignment="1" applyProtection="1">
      <alignment horizontal="right" vertical="center" wrapText="1"/>
      <protection locked="0"/>
    </xf>
    <xf numFmtId="4" fontId="9" fillId="2" borderId="1" xfId="0" applyNumberFormat="1" applyFont="1" applyFill="1" applyBorder="1" applyAlignment="1" applyProtection="1">
      <alignment horizontal="right" vertical="center" wrapText="1"/>
      <protection locked="0"/>
    </xf>
    <xf numFmtId="4" fontId="15" fillId="8" borderId="1" xfId="0" applyNumberFormat="1" applyFont="1" applyFill="1" applyBorder="1" applyAlignment="1" applyProtection="1">
      <alignment horizontal="right" vertical="center" wrapText="1"/>
      <protection locked="0"/>
    </xf>
    <xf numFmtId="4" fontId="16" fillId="0" borderId="1" xfId="0" applyNumberFormat="1" applyFont="1" applyBorder="1" applyAlignment="1" applyProtection="1">
      <alignment horizontal="right" vertical="center" wrapText="1"/>
      <protection locked="0"/>
    </xf>
    <xf numFmtId="4" fontId="16" fillId="8" borderId="1" xfId="0" applyNumberFormat="1" applyFont="1" applyFill="1" applyBorder="1" applyAlignment="1" applyProtection="1">
      <alignment horizontal="right" vertical="center" wrapText="1"/>
      <protection locked="0"/>
    </xf>
    <xf numFmtId="10" fontId="17" fillId="13" borderId="1" xfId="0" applyNumberFormat="1" applyFont="1" applyFill="1" applyBorder="1" applyAlignment="1">
      <alignment horizontal="right" vertical="center"/>
    </xf>
    <xf numFmtId="10" fontId="18" fillId="13" borderId="1" xfId="0" applyNumberFormat="1" applyFont="1" applyFill="1" applyBorder="1" applyAlignment="1">
      <alignment horizontal="right" vertical="center"/>
    </xf>
    <xf numFmtId="10" fontId="18" fillId="13" borderId="1" xfId="0" applyNumberFormat="1" applyFont="1" applyFill="1" applyBorder="1" applyAlignment="1">
      <alignment horizontal="right" vertical="center" wrapText="1"/>
    </xf>
    <xf numFmtId="10" fontId="18" fillId="4" borderId="1" xfId="0" applyNumberFormat="1" applyFont="1" applyFill="1" applyBorder="1" applyAlignment="1">
      <alignment horizontal="right" vertical="center" wrapText="1"/>
    </xf>
    <xf numFmtId="4" fontId="19" fillId="3" borderId="1" xfId="0" applyNumberFormat="1" applyFont="1" applyFill="1" applyBorder="1" applyAlignment="1">
      <alignment vertical="center" wrapText="1"/>
    </xf>
    <xf numFmtId="4" fontId="19" fillId="6" borderId="1" xfId="0" applyNumberFormat="1" applyFont="1" applyFill="1" applyBorder="1" applyAlignment="1">
      <alignment horizontal="right" vertical="center" wrapText="1"/>
    </xf>
    <xf numFmtId="4" fontId="19" fillId="6" borderId="1" xfId="0" applyNumberFormat="1" applyFont="1" applyFill="1" applyBorder="1" applyAlignment="1">
      <alignment vertical="center" wrapText="1"/>
    </xf>
    <xf numFmtId="4" fontId="20" fillId="13" borderId="1" xfId="0" applyNumberFormat="1" applyFont="1" applyFill="1" applyBorder="1" applyAlignment="1">
      <alignment horizontal="right" vertical="center" wrapText="1"/>
    </xf>
    <xf numFmtId="4" fontId="19" fillId="13" borderId="1" xfId="0" applyNumberFormat="1" applyFont="1" applyFill="1" applyBorder="1" applyAlignment="1">
      <alignment vertical="center" wrapText="1"/>
    </xf>
    <xf numFmtId="4" fontId="7" fillId="13" borderId="1" xfId="0" applyNumberFormat="1" applyFont="1" applyFill="1" applyBorder="1" applyAlignment="1">
      <alignment horizontal="right" vertical="center" wrapText="1"/>
    </xf>
    <xf numFmtId="4" fontId="4" fillId="13" borderId="1" xfId="0" applyNumberFormat="1" applyFont="1" applyFill="1" applyBorder="1" applyAlignment="1">
      <alignment vertical="center" wrapText="1"/>
    </xf>
    <xf numFmtId="4" fontId="19" fillId="13" borderId="1" xfId="0" applyNumberFormat="1" applyFont="1" applyFill="1" applyBorder="1" applyAlignment="1">
      <alignment horizontal="right" vertical="center" wrapText="1"/>
    </xf>
    <xf numFmtId="4" fontId="19" fillId="14" borderId="1" xfId="0" applyNumberFormat="1" applyFont="1" applyFill="1" applyBorder="1" applyAlignment="1">
      <alignment horizontal="right" vertical="center" wrapText="1"/>
    </xf>
    <xf numFmtId="4" fontId="19" fillId="14" borderId="1" xfId="0" applyNumberFormat="1" applyFont="1" applyFill="1" applyBorder="1" applyAlignment="1">
      <alignment vertical="center" wrapText="1"/>
    </xf>
    <xf numFmtId="10" fontId="19" fillId="14" borderId="1" xfId="0" applyNumberFormat="1" applyFont="1" applyFill="1" applyBorder="1" applyAlignment="1">
      <alignment horizontal="right" vertical="center"/>
    </xf>
    <xf numFmtId="10" fontId="19" fillId="13" borderId="1" xfId="0" applyNumberFormat="1" applyFont="1" applyFill="1" applyBorder="1" applyAlignment="1">
      <alignment horizontal="right" vertical="center"/>
    </xf>
    <xf numFmtId="4" fontId="21" fillId="13" borderId="1" xfId="0" applyNumberFormat="1" applyFont="1" applyFill="1" applyBorder="1" applyAlignment="1">
      <alignment horizontal="right" vertical="center" wrapText="1"/>
    </xf>
    <xf numFmtId="4" fontId="22" fillId="3" borderId="1" xfId="0" applyNumberFormat="1" applyFont="1" applyFill="1" applyBorder="1" applyAlignment="1">
      <alignment vertical="center" wrapText="1"/>
    </xf>
    <xf numFmtId="9" fontId="6" fillId="2" borderId="1" xfId="0" applyNumberFormat="1" applyFont="1" applyFill="1" applyBorder="1" applyAlignment="1">
      <alignment horizontal="right" vertical="center" wrapText="1"/>
    </xf>
    <xf numFmtId="4" fontId="7" fillId="15" borderId="1" xfId="0" applyNumberFormat="1" applyFont="1" applyFill="1" applyBorder="1" applyAlignment="1" applyProtection="1">
      <alignment horizontal="right" vertical="center" wrapText="1"/>
      <protection locked="0"/>
    </xf>
    <xf numFmtId="4" fontId="23" fillId="8" borderId="1" xfId="0" applyNumberFormat="1" applyFont="1" applyFill="1" applyBorder="1" applyAlignment="1" applyProtection="1">
      <alignment horizontal="right" vertical="center" wrapText="1"/>
      <protection locked="0"/>
    </xf>
  </cellXfs>
  <cellStyles count="3">
    <cellStyle name="Обычный" xfId="0" builtinId="0"/>
    <cellStyle name="Стиль 1" xfId="2" xr:uid="{00000000-0005-0000-0000-000008000000}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DC3E6"/>
      <rgbColor rgb="FFFF99CC"/>
      <rgbColor rgb="FFCC99FF"/>
      <rgbColor rgb="FFFFD966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R37"/>
  <sheetViews>
    <sheetView topLeftCell="B1" zoomScale="150" zoomScaleNormal="150" workbookViewId="0">
      <pane xSplit="2" topLeftCell="D1" activePane="topRight" state="frozen"/>
      <selection activeCell="B1" sqref="B1"/>
      <selection pane="topRight" activeCell="F40" sqref="F40"/>
    </sheetView>
  </sheetViews>
  <sheetFormatPr baseColWidth="10" defaultColWidth="8.83203125" defaultRowHeight="15" customHeight="1" x14ac:dyDescent="0.2"/>
  <cols>
    <col min="2" max="2" width="5.83203125" customWidth="1"/>
    <col min="3" max="3" width="30.83203125" customWidth="1"/>
    <col min="4" max="15" width="14.83203125" customWidth="1"/>
    <col min="16" max="17" width="14.83203125" style="55" customWidth="1"/>
    <col min="18" max="18" width="14.83203125" customWidth="1"/>
  </cols>
  <sheetData>
    <row r="1" spans="3:18" ht="15" customHeight="1" x14ac:dyDescent="0.2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7" t="s">
        <v>0</v>
      </c>
      <c r="Q1" s="57"/>
    </row>
    <row r="2" spans="3:18" ht="30" customHeight="1" x14ac:dyDescent="0.2">
      <c r="C2" s="5" t="s">
        <v>1</v>
      </c>
      <c r="D2" s="58">
        <v>2022</v>
      </c>
      <c r="E2" s="58">
        <v>2023</v>
      </c>
      <c r="F2" s="58">
        <v>2024</v>
      </c>
      <c r="G2" s="58">
        <v>2025</v>
      </c>
      <c r="H2" s="58">
        <v>2026</v>
      </c>
      <c r="I2" s="58">
        <v>2027</v>
      </c>
      <c r="J2" s="58">
        <v>2028</v>
      </c>
      <c r="K2" s="58">
        <v>2029</v>
      </c>
      <c r="L2" s="58">
        <v>2030</v>
      </c>
      <c r="M2" s="58">
        <v>2031</v>
      </c>
      <c r="N2" s="58">
        <v>2032</v>
      </c>
      <c r="O2" s="58">
        <v>2033</v>
      </c>
      <c r="P2" s="6" t="s">
        <v>82</v>
      </c>
      <c r="Q2" s="6" t="s">
        <v>15</v>
      </c>
      <c r="R2" s="6" t="s">
        <v>16</v>
      </c>
    </row>
    <row r="3" spans="3:18" ht="15" customHeight="1" x14ac:dyDescent="0.2">
      <c r="C3" s="59" t="s">
        <v>17</v>
      </c>
      <c r="D3" s="60">
        <f t="shared" ref="D3:P3" si="0">SUM(D4:D7)</f>
        <v>132496022</v>
      </c>
      <c r="E3" s="60">
        <f t="shared" si="0"/>
        <v>331533232.76999998</v>
      </c>
      <c r="F3" s="60">
        <f t="shared" si="0"/>
        <v>0</v>
      </c>
      <c r="G3" s="60">
        <f t="shared" si="0"/>
        <v>0</v>
      </c>
      <c r="H3" s="60">
        <f t="shared" si="0"/>
        <v>0</v>
      </c>
      <c r="I3" s="60">
        <f t="shared" si="0"/>
        <v>0</v>
      </c>
      <c r="J3" s="60">
        <f t="shared" si="0"/>
        <v>0</v>
      </c>
      <c r="K3" s="60">
        <f t="shared" si="0"/>
        <v>0</v>
      </c>
      <c r="L3" s="60">
        <f t="shared" si="0"/>
        <v>0</v>
      </c>
      <c r="M3" s="60">
        <f t="shared" si="0"/>
        <v>0</v>
      </c>
      <c r="N3" s="60">
        <f t="shared" si="0"/>
        <v>0</v>
      </c>
      <c r="O3" s="60">
        <f t="shared" si="0"/>
        <v>0</v>
      </c>
      <c r="P3" s="61">
        <f t="shared" si="0"/>
        <v>464029254.76999998</v>
      </c>
      <c r="Q3" s="62">
        <f t="shared" ref="Q3:Q31" si="1">AVERAGEIF(A3:O3, "&lt;&gt;")</f>
        <v>38669104.564166665</v>
      </c>
      <c r="R3" s="63">
        <v>1</v>
      </c>
    </row>
    <row r="4" spans="3:18" ht="15" customHeight="1" x14ac:dyDescent="0.2">
      <c r="C4" s="64" t="s">
        <v>18</v>
      </c>
      <c r="D4" s="33">
        <v>38464377</v>
      </c>
      <c r="E4" s="33">
        <v>99234342.5</v>
      </c>
      <c r="F4" s="33"/>
      <c r="G4" s="65"/>
      <c r="H4" s="65"/>
      <c r="I4" s="65"/>
      <c r="J4" s="65"/>
      <c r="K4" s="65"/>
      <c r="L4" s="65"/>
      <c r="M4" s="65"/>
      <c r="N4" s="65"/>
      <c r="O4" s="65"/>
      <c r="P4" s="66">
        <f>SUM(D4:O4)</f>
        <v>137698719.5</v>
      </c>
      <c r="Q4" s="67">
        <f t="shared" si="1"/>
        <v>68849359.75</v>
      </c>
      <c r="R4" s="68">
        <f t="shared" ref="R4:R31" si="2">IF(P$3=0, 0, P4/P$3)</f>
        <v>0.29674577213510284</v>
      </c>
    </row>
    <row r="5" spans="3:18" ht="15" customHeight="1" x14ac:dyDescent="0.2">
      <c r="C5" s="64" t="s">
        <v>19</v>
      </c>
      <c r="D5" s="33">
        <v>50402065</v>
      </c>
      <c r="E5" s="33">
        <v>122225695.27</v>
      </c>
      <c r="F5" s="33"/>
      <c r="G5" s="65"/>
      <c r="H5" s="65"/>
      <c r="I5" s="65"/>
      <c r="J5" s="65"/>
      <c r="K5" s="65"/>
      <c r="L5" s="65"/>
      <c r="M5" s="65"/>
      <c r="N5" s="65"/>
      <c r="O5" s="65"/>
      <c r="P5" s="66">
        <f>SUM(D5:O5)</f>
        <v>172627760.26999998</v>
      </c>
      <c r="Q5" s="67">
        <f t="shared" si="1"/>
        <v>86313880.13499999</v>
      </c>
      <c r="R5" s="68">
        <f t="shared" si="2"/>
        <v>0.37201913132732201</v>
      </c>
    </row>
    <row r="6" spans="3:18" ht="15" customHeight="1" x14ac:dyDescent="0.2">
      <c r="C6" s="64" t="s">
        <v>20</v>
      </c>
      <c r="D6" s="33">
        <v>43567735</v>
      </c>
      <c r="E6" s="33">
        <v>110073195</v>
      </c>
      <c r="F6" s="33"/>
      <c r="G6" s="65"/>
      <c r="H6" s="65"/>
      <c r="I6" s="65"/>
      <c r="J6" s="65"/>
      <c r="K6" s="65"/>
      <c r="L6" s="65"/>
      <c r="M6" s="65"/>
      <c r="N6" s="65"/>
      <c r="O6" s="65"/>
      <c r="P6" s="66">
        <f>SUM(D6:O6)</f>
        <v>153640930</v>
      </c>
      <c r="Q6" s="67">
        <f t="shared" si="1"/>
        <v>76820465</v>
      </c>
      <c r="R6" s="68">
        <f t="shared" si="2"/>
        <v>0.33110181830271329</v>
      </c>
    </row>
    <row r="7" spans="3:18" ht="15" customHeight="1" x14ac:dyDescent="0.2">
      <c r="C7" s="64" t="s">
        <v>21</v>
      </c>
      <c r="D7" s="33">
        <v>61845</v>
      </c>
      <c r="E7" s="33">
        <v>0</v>
      </c>
      <c r="F7" s="33"/>
      <c r="G7" s="65"/>
      <c r="H7" s="65"/>
      <c r="I7" s="65"/>
      <c r="J7" s="65"/>
      <c r="K7" s="65"/>
      <c r="L7" s="65"/>
      <c r="M7" s="65"/>
      <c r="N7" s="65"/>
      <c r="O7" s="65"/>
      <c r="P7" s="66">
        <f>SUM(D7:O7)</f>
        <v>61845</v>
      </c>
      <c r="Q7" s="67">
        <f t="shared" si="1"/>
        <v>30922.5</v>
      </c>
      <c r="R7" s="68">
        <f t="shared" si="2"/>
        <v>1.332782348618386E-4</v>
      </c>
    </row>
    <row r="8" spans="3:18" ht="15" customHeight="1" x14ac:dyDescent="0.2">
      <c r="C8" s="69" t="s">
        <v>22</v>
      </c>
      <c r="D8" s="70">
        <f t="shared" ref="D8:P8" si="3">SUM(D9,D14)</f>
        <v>173776867.34</v>
      </c>
      <c r="E8" s="70">
        <f t="shared" si="3"/>
        <v>245120223.96999997</v>
      </c>
      <c r="F8" s="70">
        <f t="shared" si="3"/>
        <v>0</v>
      </c>
      <c r="G8" s="70">
        <f t="shared" si="3"/>
        <v>0</v>
      </c>
      <c r="H8" s="70">
        <f t="shared" si="3"/>
        <v>0</v>
      </c>
      <c r="I8" s="70">
        <f t="shared" si="3"/>
        <v>0</v>
      </c>
      <c r="J8" s="70">
        <f t="shared" si="3"/>
        <v>0</v>
      </c>
      <c r="K8" s="70">
        <f t="shared" si="3"/>
        <v>0</v>
      </c>
      <c r="L8" s="70">
        <f t="shared" si="3"/>
        <v>0</v>
      </c>
      <c r="M8" s="70">
        <f t="shared" si="3"/>
        <v>0</v>
      </c>
      <c r="N8" s="70">
        <f t="shared" si="3"/>
        <v>0</v>
      </c>
      <c r="O8" s="70">
        <f t="shared" si="3"/>
        <v>0</v>
      </c>
      <c r="P8" s="71">
        <f t="shared" si="3"/>
        <v>418897091.30999994</v>
      </c>
      <c r="Q8" s="72">
        <f t="shared" si="1"/>
        <v>34908090.942499995</v>
      </c>
      <c r="R8" s="73">
        <f t="shared" si="2"/>
        <v>0.90273853858121467</v>
      </c>
    </row>
    <row r="9" spans="3:18" ht="15" customHeight="1" x14ac:dyDescent="0.2">
      <c r="C9" s="74" t="s">
        <v>23</v>
      </c>
      <c r="D9" s="75">
        <f t="shared" ref="D9:P9" si="4">SUM(D10:D13)</f>
        <v>73540781</v>
      </c>
      <c r="E9" s="75">
        <f t="shared" si="4"/>
        <v>5566818</v>
      </c>
      <c r="F9" s="75">
        <f t="shared" si="4"/>
        <v>0</v>
      </c>
      <c r="G9" s="75">
        <f t="shared" si="4"/>
        <v>0</v>
      </c>
      <c r="H9" s="75">
        <f t="shared" si="4"/>
        <v>0</v>
      </c>
      <c r="I9" s="75">
        <f t="shared" si="4"/>
        <v>0</v>
      </c>
      <c r="J9" s="75">
        <f t="shared" si="4"/>
        <v>0</v>
      </c>
      <c r="K9" s="75">
        <f t="shared" si="4"/>
        <v>0</v>
      </c>
      <c r="L9" s="75">
        <f t="shared" si="4"/>
        <v>0</v>
      </c>
      <c r="M9" s="75">
        <f t="shared" si="4"/>
        <v>0</v>
      </c>
      <c r="N9" s="75">
        <f t="shared" si="4"/>
        <v>0</v>
      </c>
      <c r="O9" s="75">
        <f t="shared" si="4"/>
        <v>0</v>
      </c>
      <c r="P9" s="76">
        <f t="shared" si="4"/>
        <v>79107599</v>
      </c>
      <c r="Q9" s="77">
        <f t="shared" si="1"/>
        <v>6592299.916666667</v>
      </c>
      <c r="R9" s="78">
        <f t="shared" si="2"/>
        <v>0.17047976649491711</v>
      </c>
    </row>
    <row r="10" spans="3:18" ht="15" customHeight="1" x14ac:dyDescent="0.2">
      <c r="C10" s="64" t="s">
        <v>24</v>
      </c>
      <c r="D10" s="65">
        <v>10514250</v>
      </c>
      <c r="E10" s="65">
        <f>PnL_2023!P10</f>
        <v>0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79">
        <f t="shared" ref="P10:P29" si="5">SUM(D10:O10)</f>
        <v>10514250</v>
      </c>
      <c r="Q10" s="80">
        <f t="shared" si="1"/>
        <v>5257125</v>
      </c>
      <c r="R10" s="81">
        <f t="shared" si="2"/>
        <v>2.2658592948437004E-2</v>
      </c>
    </row>
    <row r="11" spans="3:18" ht="15" customHeight="1" x14ac:dyDescent="0.2">
      <c r="C11" s="64" t="s">
        <v>25</v>
      </c>
      <c r="D11" s="65">
        <v>31661443</v>
      </c>
      <c r="E11" s="65">
        <v>3482500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79">
        <f t="shared" si="5"/>
        <v>35143943</v>
      </c>
      <c r="Q11" s="80">
        <f t="shared" si="1"/>
        <v>17571971.5</v>
      </c>
      <c r="R11" s="81">
        <f t="shared" si="2"/>
        <v>7.5736481350554913E-2</v>
      </c>
    </row>
    <row r="12" spans="3:18" ht="15" customHeight="1" x14ac:dyDescent="0.2">
      <c r="C12" s="64" t="s">
        <v>26</v>
      </c>
      <c r="D12" s="65">
        <v>26285141</v>
      </c>
      <c r="E12" s="65">
        <v>2084318</v>
      </c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79">
        <f t="shared" si="5"/>
        <v>28369459</v>
      </c>
      <c r="Q12" s="80">
        <f t="shared" si="1"/>
        <v>14184729.5</v>
      </c>
      <c r="R12" s="81">
        <f t="shared" si="2"/>
        <v>6.1137220785921272E-2</v>
      </c>
    </row>
    <row r="13" spans="3:18" ht="15" customHeight="1" x14ac:dyDescent="0.2">
      <c r="C13" s="64" t="s">
        <v>27</v>
      </c>
      <c r="D13" s="82">
        <v>5079947</v>
      </c>
      <c r="E13" s="82">
        <v>0</v>
      </c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79">
        <f t="shared" si="5"/>
        <v>5079947</v>
      </c>
      <c r="Q13" s="80">
        <f t="shared" si="1"/>
        <v>2539973.5</v>
      </c>
      <c r="R13" s="81">
        <f t="shared" si="2"/>
        <v>1.094747141000392E-2</v>
      </c>
    </row>
    <row r="14" spans="3:18" ht="15" customHeight="1" x14ac:dyDescent="0.2">
      <c r="C14" s="74" t="s">
        <v>28</v>
      </c>
      <c r="D14" s="75">
        <f t="shared" ref="D14:O14" si="6">SUM(D15,D16,D21,D22,D23,D24,D25,D26,D27,D28,D29,D17)</f>
        <v>100236086.34</v>
      </c>
      <c r="E14" s="75">
        <f t="shared" si="6"/>
        <v>239553405.96999997</v>
      </c>
      <c r="F14" s="75">
        <f t="shared" si="6"/>
        <v>0</v>
      </c>
      <c r="G14" s="75">
        <f t="shared" si="6"/>
        <v>0</v>
      </c>
      <c r="H14" s="75">
        <f t="shared" si="6"/>
        <v>0</v>
      </c>
      <c r="I14" s="75">
        <f t="shared" si="6"/>
        <v>0</v>
      </c>
      <c r="J14" s="75">
        <f t="shared" si="6"/>
        <v>0</v>
      </c>
      <c r="K14" s="75">
        <f t="shared" si="6"/>
        <v>0</v>
      </c>
      <c r="L14" s="75">
        <f t="shared" si="6"/>
        <v>0</v>
      </c>
      <c r="M14" s="75">
        <f t="shared" si="6"/>
        <v>0</v>
      </c>
      <c r="N14" s="75">
        <f t="shared" si="6"/>
        <v>0</v>
      </c>
      <c r="O14" s="75">
        <f t="shared" si="6"/>
        <v>0</v>
      </c>
      <c r="P14" s="83">
        <f t="shared" si="5"/>
        <v>339789492.30999994</v>
      </c>
      <c r="Q14" s="83">
        <f t="shared" si="1"/>
        <v>28315791.025833327</v>
      </c>
      <c r="R14" s="78">
        <f t="shared" si="2"/>
        <v>0.73225877208629764</v>
      </c>
    </row>
    <row r="15" spans="3:18" ht="15" customHeight="1" x14ac:dyDescent="0.2">
      <c r="C15" s="84" t="s">
        <v>29</v>
      </c>
      <c r="D15" s="85">
        <v>34358415</v>
      </c>
      <c r="E15" s="65">
        <v>86504588.640000001</v>
      </c>
      <c r="F15" s="65"/>
      <c r="G15" s="65"/>
      <c r="H15" s="65"/>
      <c r="I15" s="65"/>
      <c r="J15" s="65"/>
      <c r="K15" s="65"/>
      <c r="L15" s="85"/>
      <c r="M15" s="65"/>
      <c r="N15" s="85"/>
      <c r="O15" s="65"/>
      <c r="P15" s="79">
        <f t="shared" si="5"/>
        <v>120863003.64</v>
      </c>
      <c r="Q15" s="80">
        <f t="shared" si="1"/>
        <v>60431501.82</v>
      </c>
      <c r="R15" s="81">
        <f t="shared" si="2"/>
        <v>0.2604641892673486</v>
      </c>
    </row>
    <row r="16" spans="3:18" ht="15" customHeight="1" x14ac:dyDescent="0.2">
      <c r="C16" s="84" t="s">
        <v>70</v>
      </c>
      <c r="D16" s="85">
        <v>1133484</v>
      </c>
      <c r="E16" s="65">
        <v>8621330.4700000007</v>
      </c>
      <c r="F16" s="65"/>
      <c r="G16" s="65"/>
      <c r="H16" s="65"/>
      <c r="I16" s="65"/>
      <c r="J16" s="65"/>
      <c r="K16" s="65"/>
      <c r="L16" s="85"/>
      <c r="M16" s="65"/>
      <c r="N16" s="85"/>
      <c r="O16" s="65"/>
      <c r="P16" s="79">
        <f t="shared" si="5"/>
        <v>9754814.4700000007</v>
      </c>
      <c r="Q16" s="80">
        <f t="shared" si="1"/>
        <v>4877407.2350000003</v>
      </c>
      <c r="R16" s="81">
        <f t="shared" si="2"/>
        <v>2.1021981630953541E-2</v>
      </c>
    </row>
    <row r="17" spans="3:18" s="55" customFormat="1" ht="15" customHeight="1" x14ac:dyDescent="0.2">
      <c r="C17" s="86" t="s">
        <v>83</v>
      </c>
      <c r="D17" s="87">
        <f t="shared" ref="D17:O17" si="7">SUM(D18:D20)</f>
        <v>42106715.710000001</v>
      </c>
      <c r="E17" s="87">
        <f t="shared" si="7"/>
        <v>99049842.170000002</v>
      </c>
      <c r="F17" s="87">
        <f t="shared" si="7"/>
        <v>0</v>
      </c>
      <c r="G17" s="87">
        <f t="shared" si="7"/>
        <v>0</v>
      </c>
      <c r="H17" s="87">
        <f t="shared" si="7"/>
        <v>0</v>
      </c>
      <c r="I17" s="87">
        <f t="shared" si="7"/>
        <v>0</v>
      </c>
      <c r="J17" s="87">
        <f t="shared" si="7"/>
        <v>0</v>
      </c>
      <c r="K17" s="87">
        <f t="shared" si="7"/>
        <v>0</v>
      </c>
      <c r="L17" s="87">
        <f t="shared" si="7"/>
        <v>0</v>
      </c>
      <c r="M17" s="87">
        <f t="shared" si="7"/>
        <v>0</v>
      </c>
      <c r="N17" s="87">
        <f t="shared" si="7"/>
        <v>0</v>
      </c>
      <c r="O17" s="87">
        <f t="shared" si="7"/>
        <v>0</v>
      </c>
      <c r="P17" s="79">
        <f t="shared" si="5"/>
        <v>141156557.88</v>
      </c>
      <c r="Q17" s="80">
        <f t="shared" si="1"/>
        <v>11763046.49</v>
      </c>
      <c r="R17" s="81">
        <f t="shared" si="2"/>
        <v>0.30419754019596335</v>
      </c>
    </row>
    <row r="18" spans="3:18" s="55" customFormat="1" ht="15" customHeight="1" x14ac:dyDescent="0.2">
      <c r="C18" s="36" t="s">
        <v>38</v>
      </c>
      <c r="D18" s="82">
        <v>17983542.949999999</v>
      </c>
      <c r="E18" s="82">
        <v>43555645.340000004</v>
      </c>
      <c r="F18" s="82"/>
      <c r="G18" s="88"/>
      <c r="H18" s="82"/>
      <c r="I18" s="82"/>
      <c r="J18" s="82"/>
      <c r="K18" s="82"/>
      <c r="L18" s="82"/>
      <c r="M18" s="82"/>
      <c r="N18" s="82"/>
      <c r="O18" s="82"/>
      <c r="P18" s="89">
        <f t="shared" si="5"/>
        <v>61539188.290000007</v>
      </c>
      <c r="Q18" s="90">
        <f t="shared" si="1"/>
        <v>30769594.145000003</v>
      </c>
      <c r="R18" s="81">
        <f t="shared" si="2"/>
        <v>0.13261919945220355</v>
      </c>
    </row>
    <row r="19" spans="3:18" s="55" customFormat="1" ht="15" customHeight="1" x14ac:dyDescent="0.2">
      <c r="C19" s="36" t="s">
        <v>39</v>
      </c>
      <c r="D19" s="82">
        <v>15687700.76</v>
      </c>
      <c r="E19" s="82">
        <v>37342776.549999997</v>
      </c>
      <c r="F19" s="82"/>
      <c r="G19" s="88"/>
      <c r="H19" s="82"/>
      <c r="I19" s="82"/>
      <c r="J19" s="82"/>
      <c r="K19" s="82"/>
      <c r="L19" s="82"/>
      <c r="M19" s="82"/>
      <c r="N19" s="82"/>
      <c r="O19" s="82"/>
      <c r="P19" s="89">
        <f t="shared" si="5"/>
        <v>53030477.309999995</v>
      </c>
      <c r="Q19" s="90">
        <f t="shared" si="1"/>
        <v>26515238.654999997</v>
      </c>
      <c r="R19" s="81">
        <f t="shared" si="2"/>
        <v>0.11428261637573907</v>
      </c>
    </row>
    <row r="20" spans="3:18" s="55" customFormat="1" ht="15" customHeight="1" x14ac:dyDescent="0.2">
      <c r="C20" s="36" t="s">
        <v>40</v>
      </c>
      <c r="D20" s="82">
        <v>8435472</v>
      </c>
      <c r="E20" s="82">
        <v>18151420.280000001</v>
      </c>
      <c r="F20" s="82"/>
      <c r="G20" s="88"/>
      <c r="H20" s="82"/>
      <c r="I20" s="82"/>
      <c r="J20" s="82"/>
      <c r="K20" s="82"/>
      <c r="L20" s="82"/>
      <c r="M20" s="82"/>
      <c r="N20" s="82"/>
      <c r="O20" s="82"/>
      <c r="P20" s="89">
        <f t="shared" si="5"/>
        <v>26586892.280000001</v>
      </c>
      <c r="Q20" s="90">
        <f t="shared" si="1"/>
        <v>13293446.140000001</v>
      </c>
      <c r="R20" s="81">
        <f t="shared" si="2"/>
        <v>5.7295724368020759E-2</v>
      </c>
    </row>
    <row r="21" spans="3:18" ht="15" customHeight="1" x14ac:dyDescent="0.2">
      <c r="C21" s="91" t="s">
        <v>59</v>
      </c>
      <c r="D21" s="65">
        <v>2416395.89</v>
      </c>
      <c r="E21" s="65">
        <v>4427502</v>
      </c>
      <c r="F21" s="85"/>
      <c r="G21" s="92"/>
      <c r="H21" s="85"/>
      <c r="I21" s="85"/>
      <c r="J21" s="85"/>
      <c r="K21" s="85"/>
      <c r="L21" s="85"/>
      <c r="M21" s="85"/>
      <c r="N21" s="85"/>
      <c r="O21" s="85"/>
      <c r="P21" s="79">
        <f t="shared" si="5"/>
        <v>6843897.8900000006</v>
      </c>
      <c r="Q21" s="80">
        <f t="shared" si="1"/>
        <v>3421948.9450000003</v>
      </c>
      <c r="R21" s="81">
        <f t="shared" si="2"/>
        <v>1.4748850034018299E-2</v>
      </c>
    </row>
    <row r="22" spans="3:18" ht="15" customHeight="1" x14ac:dyDescent="0.2">
      <c r="C22" s="64" t="s">
        <v>41</v>
      </c>
      <c r="D22" s="65">
        <v>3769229.18</v>
      </c>
      <c r="E22" s="65">
        <v>6771168.2000000002</v>
      </c>
      <c r="F22" s="65"/>
      <c r="G22" s="92"/>
      <c r="H22" s="65"/>
      <c r="I22" s="65"/>
      <c r="J22" s="65"/>
      <c r="K22" s="65"/>
      <c r="L22" s="65"/>
      <c r="M22" s="65"/>
      <c r="N22" s="65"/>
      <c r="O22" s="65"/>
      <c r="P22" s="79">
        <f t="shared" si="5"/>
        <v>10540397.380000001</v>
      </c>
      <c r="Q22" s="80">
        <f t="shared" si="1"/>
        <v>5270198.6900000004</v>
      </c>
      <c r="R22" s="81">
        <f t="shared" si="2"/>
        <v>2.2714941507781524E-2</v>
      </c>
    </row>
    <row r="23" spans="3:18" ht="15" customHeight="1" x14ac:dyDescent="0.2">
      <c r="C23" s="64" t="s">
        <v>55</v>
      </c>
      <c r="D23" s="65">
        <v>441878.93</v>
      </c>
      <c r="E23" s="65">
        <v>298546.39</v>
      </c>
      <c r="F23" s="93"/>
      <c r="G23" s="92"/>
      <c r="H23" s="85"/>
      <c r="I23" s="85"/>
      <c r="J23" s="85"/>
      <c r="K23" s="85"/>
      <c r="L23" s="85"/>
      <c r="M23" s="85"/>
      <c r="N23" s="85"/>
      <c r="O23" s="85"/>
      <c r="P23" s="79">
        <f t="shared" si="5"/>
        <v>740425.32000000007</v>
      </c>
      <c r="Q23" s="80">
        <f t="shared" si="1"/>
        <v>370212.66000000003</v>
      </c>
      <c r="R23" s="81">
        <f t="shared" si="2"/>
        <v>1.5956436202863935E-3</v>
      </c>
    </row>
    <row r="24" spans="3:18" ht="15" customHeight="1" x14ac:dyDescent="0.2">
      <c r="C24" s="91" t="s">
        <v>46</v>
      </c>
      <c r="D24" s="65">
        <v>8000000</v>
      </c>
      <c r="E24" s="65">
        <v>19562830.899999999</v>
      </c>
      <c r="F24" s="85"/>
      <c r="G24" s="32"/>
      <c r="H24" s="85"/>
      <c r="I24" s="85"/>
      <c r="J24" s="85"/>
      <c r="K24" s="85"/>
      <c r="L24" s="85"/>
      <c r="M24" s="85"/>
      <c r="N24" s="85"/>
      <c r="O24" s="85"/>
      <c r="P24" s="79">
        <f t="shared" si="5"/>
        <v>27562830.899999999</v>
      </c>
      <c r="Q24" s="80">
        <f t="shared" si="1"/>
        <v>13781415.449999999</v>
      </c>
      <c r="R24" s="81">
        <f t="shared" si="2"/>
        <v>5.9398907755636547E-2</v>
      </c>
    </row>
    <row r="25" spans="3:18" ht="15" customHeight="1" x14ac:dyDescent="0.2">
      <c r="C25" s="91" t="s">
        <v>84</v>
      </c>
      <c r="D25" s="65">
        <v>1663130.39</v>
      </c>
      <c r="E25" s="65">
        <v>3733238.24</v>
      </c>
      <c r="F25" s="85"/>
      <c r="G25" s="92"/>
      <c r="H25" s="85"/>
      <c r="I25" s="85"/>
      <c r="J25" s="85"/>
      <c r="K25" s="85"/>
      <c r="L25" s="85"/>
      <c r="M25" s="85"/>
      <c r="N25" s="85"/>
      <c r="O25" s="85"/>
      <c r="P25" s="79">
        <f t="shared" si="5"/>
        <v>5396368.6299999999</v>
      </c>
      <c r="Q25" s="80">
        <f t="shared" si="1"/>
        <v>2698184.3149999999</v>
      </c>
      <c r="R25" s="81">
        <f t="shared" si="2"/>
        <v>1.1629371584933273E-2</v>
      </c>
    </row>
    <row r="26" spans="3:18" ht="15" customHeight="1" x14ac:dyDescent="0.2">
      <c r="C26" s="64" t="s">
        <v>60</v>
      </c>
      <c r="D26" s="65">
        <v>867264.24</v>
      </c>
      <c r="E26" s="65">
        <v>3143080.96</v>
      </c>
      <c r="F26" s="94"/>
      <c r="G26" s="92"/>
      <c r="H26" s="85"/>
      <c r="I26" s="85"/>
      <c r="J26" s="85"/>
      <c r="K26" s="85"/>
      <c r="L26" s="85"/>
      <c r="M26" s="85"/>
      <c r="N26" s="85"/>
      <c r="O26" s="85"/>
      <c r="P26" s="79">
        <f t="shared" si="5"/>
        <v>4010345.2</v>
      </c>
      <c r="Q26" s="80">
        <f t="shared" si="1"/>
        <v>2005172.6</v>
      </c>
      <c r="R26" s="81">
        <f t="shared" si="2"/>
        <v>8.642440446966564E-3</v>
      </c>
    </row>
    <row r="27" spans="3:18" ht="15" customHeight="1" x14ac:dyDescent="0.2">
      <c r="C27" s="64" t="s">
        <v>69</v>
      </c>
      <c r="D27" s="65">
        <v>0</v>
      </c>
      <c r="E27" s="65">
        <v>0</v>
      </c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79">
        <f t="shared" si="5"/>
        <v>0</v>
      </c>
      <c r="Q27" s="80">
        <f t="shared" si="1"/>
        <v>0</v>
      </c>
      <c r="R27" s="81">
        <f t="shared" si="2"/>
        <v>0</v>
      </c>
    </row>
    <row r="28" spans="3:18" ht="15" customHeight="1" x14ac:dyDescent="0.2">
      <c r="C28" s="64" t="s">
        <v>85</v>
      </c>
      <c r="D28" s="65">
        <v>432380</v>
      </c>
      <c r="E28" s="65">
        <v>626470</v>
      </c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79">
        <f t="shared" si="5"/>
        <v>1058850</v>
      </c>
      <c r="Q28" s="80">
        <f t="shared" si="1"/>
        <v>529425</v>
      </c>
      <c r="R28" s="81">
        <f t="shared" si="2"/>
        <v>2.2818604411586679E-3</v>
      </c>
    </row>
    <row r="29" spans="3:18" ht="15" customHeight="1" x14ac:dyDescent="0.2">
      <c r="C29" s="64" t="s">
        <v>58</v>
      </c>
      <c r="D29" s="65">
        <v>5047193</v>
      </c>
      <c r="E29" s="65">
        <v>6814808</v>
      </c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79">
        <f t="shared" si="5"/>
        <v>11862001</v>
      </c>
      <c r="Q29" s="80">
        <f t="shared" si="1"/>
        <v>5931000.5</v>
      </c>
      <c r="R29" s="81">
        <f t="shared" si="2"/>
        <v>2.5563045601250941E-2</v>
      </c>
    </row>
    <row r="30" spans="3:18" ht="27.75" customHeight="1" x14ac:dyDescent="0.2">
      <c r="C30" s="43" t="s">
        <v>77</v>
      </c>
      <c r="D30" s="44">
        <f t="shared" ref="D30:P30" si="8">D3-D14</f>
        <v>32259935.659999996</v>
      </c>
      <c r="E30" s="44">
        <f t="shared" si="8"/>
        <v>91979826.800000012</v>
      </c>
      <c r="F30" s="44">
        <f t="shared" si="8"/>
        <v>0</v>
      </c>
      <c r="G30" s="44">
        <f t="shared" si="8"/>
        <v>0</v>
      </c>
      <c r="H30" s="44">
        <f t="shared" si="8"/>
        <v>0</v>
      </c>
      <c r="I30" s="44">
        <f t="shared" si="8"/>
        <v>0</v>
      </c>
      <c r="J30" s="44">
        <f t="shared" si="8"/>
        <v>0</v>
      </c>
      <c r="K30" s="44">
        <f t="shared" si="8"/>
        <v>0</v>
      </c>
      <c r="L30" s="44">
        <f t="shared" si="8"/>
        <v>0</v>
      </c>
      <c r="M30" s="44">
        <f t="shared" si="8"/>
        <v>0</v>
      </c>
      <c r="N30" s="44">
        <f t="shared" si="8"/>
        <v>0</v>
      </c>
      <c r="O30" s="44">
        <f t="shared" si="8"/>
        <v>0</v>
      </c>
      <c r="P30" s="44">
        <f t="shared" si="8"/>
        <v>124239762.46000004</v>
      </c>
      <c r="Q30" s="95">
        <f t="shared" si="1"/>
        <v>10353313.538333334</v>
      </c>
      <c r="R30" s="96">
        <f t="shared" si="2"/>
        <v>0.26774122791370242</v>
      </c>
    </row>
    <row r="31" spans="3:18" ht="15" customHeight="1" x14ac:dyDescent="0.2">
      <c r="C31" s="43" t="s">
        <v>78</v>
      </c>
      <c r="D31" s="44">
        <f t="shared" ref="D31:P31" si="9">D3-D8</f>
        <v>-41280845.340000004</v>
      </c>
      <c r="E31" s="44">
        <f t="shared" si="9"/>
        <v>86413008.800000012</v>
      </c>
      <c r="F31" s="44">
        <f t="shared" si="9"/>
        <v>0</v>
      </c>
      <c r="G31" s="44">
        <f t="shared" si="9"/>
        <v>0</v>
      </c>
      <c r="H31" s="44">
        <f t="shared" si="9"/>
        <v>0</v>
      </c>
      <c r="I31" s="44">
        <f t="shared" si="9"/>
        <v>0</v>
      </c>
      <c r="J31" s="44">
        <f t="shared" si="9"/>
        <v>0</v>
      </c>
      <c r="K31" s="44">
        <f t="shared" si="9"/>
        <v>0</v>
      </c>
      <c r="L31" s="44">
        <f t="shared" si="9"/>
        <v>0</v>
      </c>
      <c r="M31" s="44">
        <f t="shared" si="9"/>
        <v>0</v>
      </c>
      <c r="N31" s="44">
        <f t="shared" si="9"/>
        <v>0</v>
      </c>
      <c r="O31" s="44">
        <f t="shared" si="9"/>
        <v>0</v>
      </c>
      <c r="P31" s="44">
        <f t="shared" si="9"/>
        <v>45132163.460000038</v>
      </c>
      <c r="Q31" s="95">
        <f t="shared" si="1"/>
        <v>3761013.6216666675</v>
      </c>
      <c r="R31" s="96">
        <f t="shared" si="2"/>
        <v>9.7261461418785278E-2</v>
      </c>
    </row>
    <row r="32" spans="3:18" ht="15" customHeight="1" x14ac:dyDescent="0.2">
      <c r="C32" s="47" t="s">
        <v>79</v>
      </c>
      <c r="D32" s="48">
        <f t="shared" ref="D32:P32" si="10">IF(D3=0, 0, D30/D3)</f>
        <v>0.24347852239669501</v>
      </c>
      <c r="E32" s="48">
        <f t="shared" si="10"/>
        <v>0.27743772783047271</v>
      </c>
      <c r="F32" s="48">
        <f t="shared" si="10"/>
        <v>0</v>
      </c>
      <c r="G32" s="48">
        <f t="shared" si="10"/>
        <v>0</v>
      </c>
      <c r="H32" s="48">
        <f t="shared" si="10"/>
        <v>0</v>
      </c>
      <c r="I32" s="48">
        <f t="shared" si="10"/>
        <v>0</v>
      </c>
      <c r="J32" s="48">
        <f t="shared" si="10"/>
        <v>0</v>
      </c>
      <c r="K32" s="48">
        <f t="shared" si="10"/>
        <v>0</v>
      </c>
      <c r="L32" s="48">
        <f t="shared" si="10"/>
        <v>0</v>
      </c>
      <c r="M32" s="48">
        <f t="shared" si="10"/>
        <v>0</v>
      </c>
      <c r="N32" s="48">
        <f t="shared" si="10"/>
        <v>0</v>
      </c>
      <c r="O32" s="48">
        <f t="shared" si="10"/>
        <v>0</v>
      </c>
      <c r="P32" s="48">
        <f t="shared" si="10"/>
        <v>0.26774122791370242</v>
      </c>
      <c r="Q32" s="48"/>
      <c r="R32" s="46"/>
    </row>
    <row r="33" spans="3:18" ht="15" customHeight="1" x14ac:dyDescent="0.2">
      <c r="C33" s="47" t="s">
        <v>86</v>
      </c>
      <c r="D33" s="48">
        <f t="shared" ref="D33:P33" si="11">IF(D3=0, 0, D17/D3)</f>
        <v>0.31779607473800231</v>
      </c>
      <c r="E33" s="48">
        <f t="shared" si="11"/>
        <v>0.29876293650089519</v>
      </c>
      <c r="F33" s="48">
        <f t="shared" si="11"/>
        <v>0</v>
      </c>
      <c r="G33" s="48">
        <f t="shared" si="11"/>
        <v>0</v>
      </c>
      <c r="H33" s="48">
        <f t="shared" si="11"/>
        <v>0</v>
      </c>
      <c r="I33" s="48">
        <f t="shared" si="11"/>
        <v>0</v>
      </c>
      <c r="J33" s="48">
        <f t="shared" si="11"/>
        <v>0</v>
      </c>
      <c r="K33" s="48">
        <f t="shared" si="11"/>
        <v>0</v>
      </c>
      <c r="L33" s="48">
        <f t="shared" si="11"/>
        <v>0</v>
      </c>
      <c r="M33" s="48">
        <f t="shared" si="11"/>
        <v>0</v>
      </c>
      <c r="N33" s="48">
        <f t="shared" si="11"/>
        <v>0</v>
      </c>
      <c r="O33" s="48">
        <f t="shared" si="11"/>
        <v>0</v>
      </c>
      <c r="P33" s="48">
        <f t="shared" si="11"/>
        <v>0.30419754019596335</v>
      </c>
      <c r="Q33" s="48"/>
      <c r="R33" s="46"/>
    </row>
    <row r="34" spans="3:18" ht="15" customHeight="1" x14ac:dyDescent="0.2">
      <c r="C34" s="50" t="s">
        <v>18</v>
      </c>
      <c r="D34" s="51">
        <f t="shared" ref="D34:P34" si="12">IF(D4=0, 0, D18/D4)</f>
        <v>0.46753761148919687</v>
      </c>
      <c r="E34" s="51">
        <f t="shared" si="12"/>
        <v>0.43891705474846071</v>
      </c>
      <c r="F34" s="51">
        <f t="shared" si="12"/>
        <v>0</v>
      </c>
      <c r="G34" s="51">
        <f t="shared" si="12"/>
        <v>0</v>
      </c>
      <c r="H34" s="51">
        <f t="shared" si="12"/>
        <v>0</v>
      </c>
      <c r="I34" s="51">
        <f t="shared" si="12"/>
        <v>0</v>
      </c>
      <c r="J34" s="51">
        <f t="shared" si="12"/>
        <v>0</v>
      </c>
      <c r="K34" s="51">
        <f t="shared" si="12"/>
        <v>0</v>
      </c>
      <c r="L34" s="51">
        <f t="shared" si="12"/>
        <v>0</v>
      </c>
      <c r="M34" s="51">
        <f t="shared" si="12"/>
        <v>0</v>
      </c>
      <c r="N34" s="51">
        <f t="shared" si="12"/>
        <v>0</v>
      </c>
      <c r="O34" s="51">
        <f t="shared" si="12"/>
        <v>0</v>
      </c>
      <c r="P34" s="51">
        <f t="shared" si="12"/>
        <v>0.44691184139878665</v>
      </c>
      <c r="Q34" s="51"/>
      <c r="R34" s="52"/>
    </row>
    <row r="35" spans="3:18" ht="15" customHeight="1" x14ac:dyDescent="0.2">
      <c r="C35" s="50" t="s">
        <v>19</v>
      </c>
      <c r="D35" s="51">
        <f t="shared" ref="D35:P35" si="13">IF(D5=0, 0, D19/D5)</f>
        <v>0.31125115131691528</v>
      </c>
      <c r="E35" s="51">
        <f t="shared" si="13"/>
        <v>0.30552312643841995</v>
      </c>
      <c r="F35" s="51">
        <f t="shared" si="13"/>
        <v>0</v>
      </c>
      <c r="G35" s="51">
        <f t="shared" si="13"/>
        <v>0</v>
      </c>
      <c r="H35" s="51">
        <f t="shared" si="13"/>
        <v>0</v>
      </c>
      <c r="I35" s="51">
        <f t="shared" si="13"/>
        <v>0</v>
      </c>
      <c r="J35" s="51">
        <f t="shared" si="13"/>
        <v>0</v>
      </c>
      <c r="K35" s="51">
        <f t="shared" si="13"/>
        <v>0</v>
      </c>
      <c r="L35" s="51">
        <f t="shared" si="13"/>
        <v>0</v>
      </c>
      <c r="M35" s="51">
        <f t="shared" si="13"/>
        <v>0</v>
      </c>
      <c r="N35" s="51">
        <f t="shared" si="13"/>
        <v>0</v>
      </c>
      <c r="O35" s="51">
        <f t="shared" si="13"/>
        <v>0</v>
      </c>
      <c r="P35" s="51">
        <f t="shared" si="13"/>
        <v>0.30719553579944042</v>
      </c>
      <c r="Q35" s="51"/>
      <c r="R35" s="52"/>
    </row>
    <row r="36" spans="3:18" ht="15" customHeight="1" x14ac:dyDescent="0.2">
      <c r="C36" s="50" t="s">
        <v>20</v>
      </c>
      <c r="D36" s="51">
        <f t="shared" ref="D36:P36" si="14">IF(D6=0, 0, D20/D6)</f>
        <v>0.19361740976435887</v>
      </c>
      <c r="E36" s="51">
        <f t="shared" si="14"/>
        <v>0.16490318355890371</v>
      </c>
      <c r="F36" s="51">
        <f t="shared" si="14"/>
        <v>0</v>
      </c>
      <c r="G36" s="51">
        <f t="shared" si="14"/>
        <v>0</v>
      </c>
      <c r="H36" s="51">
        <f t="shared" si="14"/>
        <v>0</v>
      </c>
      <c r="I36" s="51">
        <f t="shared" si="14"/>
        <v>0</v>
      </c>
      <c r="J36" s="51">
        <f t="shared" si="14"/>
        <v>0</v>
      </c>
      <c r="K36" s="51">
        <f t="shared" si="14"/>
        <v>0</v>
      </c>
      <c r="L36" s="51">
        <f t="shared" si="14"/>
        <v>0</v>
      </c>
      <c r="M36" s="51">
        <f t="shared" si="14"/>
        <v>0</v>
      </c>
      <c r="N36" s="51">
        <f t="shared" si="14"/>
        <v>0</v>
      </c>
      <c r="O36" s="51">
        <f t="shared" si="14"/>
        <v>0</v>
      </c>
      <c r="P36" s="51">
        <f t="shared" si="14"/>
        <v>0.17304563490991626</v>
      </c>
      <c r="Q36" s="51"/>
      <c r="R36" s="52"/>
    </row>
    <row r="37" spans="3:18" ht="15" customHeight="1" x14ac:dyDescent="0.2">
      <c r="C37" s="47" t="s">
        <v>81</v>
      </c>
      <c r="D37" s="44">
        <f>D31</f>
        <v>-41280845.340000004</v>
      </c>
      <c r="E37" s="44">
        <f t="shared" ref="E37:O37" si="15">D37+E31</f>
        <v>45132163.460000008</v>
      </c>
      <c r="F37" s="44">
        <f t="shared" si="15"/>
        <v>45132163.460000008</v>
      </c>
      <c r="G37" s="44">
        <f t="shared" si="15"/>
        <v>45132163.460000008</v>
      </c>
      <c r="H37" s="44">
        <f t="shared" si="15"/>
        <v>45132163.460000008</v>
      </c>
      <c r="I37" s="44">
        <f t="shared" si="15"/>
        <v>45132163.460000008</v>
      </c>
      <c r="J37" s="44">
        <f t="shared" si="15"/>
        <v>45132163.460000008</v>
      </c>
      <c r="K37" s="44">
        <f t="shared" si="15"/>
        <v>45132163.460000008</v>
      </c>
      <c r="L37" s="44">
        <f t="shared" si="15"/>
        <v>45132163.460000008</v>
      </c>
      <c r="M37" s="44">
        <f t="shared" si="15"/>
        <v>45132163.460000008</v>
      </c>
      <c r="N37" s="44">
        <f t="shared" si="15"/>
        <v>45132163.460000008</v>
      </c>
      <c r="O37" s="44">
        <f t="shared" si="15"/>
        <v>45132163.460000008</v>
      </c>
      <c r="P37" s="53"/>
      <c r="Q37" s="53"/>
      <c r="R37" s="54"/>
    </row>
  </sheetData>
  <pageMargins left="0.7" right="0.7" top="0.75" bottom="0.75" header="0.511811023622047" footer="0.3"/>
  <pageSetup orientation="portrait" horizontalDpi="300" verticalDpi="300"/>
  <headerFooter>
    <oddFooter>&amp;C&amp;10 _x005F_x000d_# Schlumberger-Private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R37"/>
  <sheetViews>
    <sheetView topLeftCell="B1" zoomScale="140" zoomScaleNormal="140" workbookViewId="0">
      <pane xSplit="2" topLeftCell="D1" activePane="topRight" state="frozen"/>
      <selection activeCell="B1" sqref="B1"/>
      <selection pane="topRight" activeCell="O37" sqref="O37"/>
    </sheetView>
  </sheetViews>
  <sheetFormatPr baseColWidth="10" defaultColWidth="8.83203125" defaultRowHeight="15" customHeight="1" x14ac:dyDescent="0.2"/>
  <cols>
    <col min="2" max="2" width="5.83203125" customWidth="1"/>
    <col min="3" max="3" width="30.83203125" customWidth="1"/>
    <col min="4" max="15" width="14.83203125" customWidth="1"/>
    <col min="16" max="17" width="14.83203125" style="55" customWidth="1"/>
    <col min="18" max="18" width="14.83203125" customWidth="1"/>
  </cols>
  <sheetData>
    <row r="1" spans="3:18" ht="15" customHeight="1" x14ac:dyDescent="0.2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7" t="s">
        <v>0</v>
      </c>
      <c r="Q1" s="57"/>
    </row>
    <row r="2" spans="3:18" ht="30" customHeight="1" x14ac:dyDescent="0.2">
      <c r="C2" s="5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</row>
    <row r="3" spans="3:18" ht="15" customHeight="1" x14ac:dyDescent="0.2">
      <c r="C3" s="59" t="s">
        <v>17</v>
      </c>
      <c r="D3" s="60">
        <f t="shared" ref="D3:P3" si="0">SUM(D4:D7)</f>
        <v>0</v>
      </c>
      <c r="E3" s="60">
        <f t="shared" si="0"/>
        <v>0</v>
      </c>
      <c r="F3" s="60">
        <f t="shared" si="0"/>
        <v>0</v>
      </c>
      <c r="G3" s="60">
        <f t="shared" si="0"/>
        <v>0</v>
      </c>
      <c r="H3" s="60">
        <f t="shared" si="0"/>
        <v>0</v>
      </c>
      <c r="I3" s="60">
        <f t="shared" si="0"/>
        <v>5920103</v>
      </c>
      <c r="J3" s="60">
        <f t="shared" si="0"/>
        <v>11835244</v>
      </c>
      <c r="K3" s="60">
        <f t="shared" si="0"/>
        <v>15083498</v>
      </c>
      <c r="L3" s="60">
        <f t="shared" si="0"/>
        <v>17098342</v>
      </c>
      <c r="M3" s="60">
        <f t="shared" si="0"/>
        <v>27087908</v>
      </c>
      <c r="N3" s="60">
        <f t="shared" si="0"/>
        <v>26161034</v>
      </c>
      <c r="O3" s="60">
        <f t="shared" si="0"/>
        <v>29309893</v>
      </c>
      <c r="P3" s="61">
        <f t="shared" si="0"/>
        <v>132496022</v>
      </c>
      <c r="Q3" s="61">
        <f t="shared" ref="Q3:Q36" si="1">AVERAGEIF(D3:O3, "&lt;&gt;")</f>
        <v>11041335.166666666</v>
      </c>
      <c r="R3" s="97">
        <v>1</v>
      </c>
    </row>
    <row r="4" spans="3:18" ht="15" customHeight="1" x14ac:dyDescent="0.2">
      <c r="C4" s="64" t="s">
        <v>18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1640672</v>
      </c>
      <c r="J4" s="65">
        <v>3556956</v>
      </c>
      <c r="K4" s="65">
        <v>4247005</v>
      </c>
      <c r="L4" s="65">
        <v>4600498</v>
      </c>
      <c r="M4" s="65">
        <v>7789820</v>
      </c>
      <c r="N4" s="65">
        <v>7620286</v>
      </c>
      <c r="O4" s="65">
        <v>9009140</v>
      </c>
      <c r="P4" s="66">
        <f>SUM(D4:O4)</f>
        <v>38464377</v>
      </c>
      <c r="Q4" s="66">
        <f t="shared" si="1"/>
        <v>3205364.75</v>
      </c>
      <c r="R4" s="98">
        <f t="shared" ref="R4:R31" si="2">IF(P$3=0, 0, P4/P$3)</f>
        <v>0.29030590065564382</v>
      </c>
    </row>
    <row r="5" spans="3:18" ht="15" customHeight="1" x14ac:dyDescent="0.2">
      <c r="C5" s="64" t="s">
        <v>19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2495736</v>
      </c>
      <c r="J5" s="65">
        <v>4662163</v>
      </c>
      <c r="K5" s="65">
        <v>5814943</v>
      </c>
      <c r="L5" s="65">
        <v>6892944</v>
      </c>
      <c r="M5" s="65">
        <v>10118728</v>
      </c>
      <c r="N5" s="65">
        <v>9222678</v>
      </c>
      <c r="O5" s="65">
        <v>11194873</v>
      </c>
      <c r="P5" s="66">
        <f>SUM(D5:O5)</f>
        <v>50402065</v>
      </c>
      <c r="Q5" s="66">
        <f t="shared" si="1"/>
        <v>4200172.083333333</v>
      </c>
      <c r="R5" s="98">
        <f t="shared" si="2"/>
        <v>0.38040436414007961</v>
      </c>
    </row>
    <row r="6" spans="3:18" ht="15" customHeight="1" x14ac:dyDescent="0.2">
      <c r="C6" s="64" t="s">
        <v>20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1721850</v>
      </c>
      <c r="J6" s="65">
        <v>3616125</v>
      </c>
      <c r="K6" s="65">
        <v>5021550</v>
      </c>
      <c r="L6" s="65">
        <v>5604900</v>
      </c>
      <c r="M6" s="65">
        <v>9179360</v>
      </c>
      <c r="N6" s="65">
        <v>9318070</v>
      </c>
      <c r="O6" s="65">
        <v>9105880</v>
      </c>
      <c r="P6" s="66">
        <f>SUM(D6:O6)</f>
        <v>43567735</v>
      </c>
      <c r="Q6" s="66">
        <f t="shared" si="1"/>
        <v>3630644.5833333335</v>
      </c>
      <c r="R6" s="98">
        <f t="shared" si="2"/>
        <v>0.32882296647366516</v>
      </c>
    </row>
    <row r="7" spans="3:18" ht="15" customHeight="1" x14ac:dyDescent="0.2">
      <c r="C7" s="64" t="s">
        <v>21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61845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6">
        <f>SUM(D7:O7)</f>
        <v>61845</v>
      </c>
      <c r="Q7" s="66">
        <f t="shared" si="1"/>
        <v>5153.75</v>
      </c>
      <c r="R7" s="98">
        <f t="shared" si="2"/>
        <v>4.6676873061139902E-4</v>
      </c>
    </row>
    <row r="8" spans="3:18" ht="15" customHeight="1" x14ac:dyDescent="0.2">
      <c r="C8" s="69" t="s">
        <v>22</v>
      </c>
      <c r="D8" s="70">
        <f t="shared" ref="D8:P8" si="3">SUM(D9,D14)</f>
        <v>14518700</v>
      </c>
      <c r="E8" s="70">
        <f t="shared" si="3"/>
        <v>8235840</v>
      </c>
      <c r="F8" s="70">
        <f t="shared" si="3"/>
        <v>17060390</v>
      </c>
      <c r="G8" s="70">
        <f t="shared" si="3"/>
        <v>8017813</v>
      </c>
      <c r="H8" s="70">
        <f t="shared" si="3"/>
        <v>7937636</v>
      </c>
      <c r="I8" s="70">
        <f t="shared" si="3"/>
        <v>14495721.539999999</v>
      </c>
      <c r="J8" s="70">
        <f t="shared" si="3"/>
        <v>10295204.219999999</v>
      </c>
      <c r="K8" s="70">
        <f t="shared" si="3"/>
        <v>12987363</v>
      </c>
      <c r="L8" s="70">
        <f t="shared" si="3"/>
        <v>15828149.529999999</v>
      </c>
      <c r="M8" s="70">
        <f t="shared" si="3"/>
        <v>22845297.990000002</v>
      </c>
      <c r="N8" s="70">
        <f t="shared" si="3"/>
        <v>19988061.920000002</v>
      </c>
      <c r="O8" s="70">
        <f t="shared" si="3"/>
        <v>21566690.140000001</v>
      </c>
      <c r="P8" s="71">
        <f t="shared" si="3"/>
        <v>173776867.34</v>
      </c>
      <c r="Q8" s="71">
        <f t="shared" si="1"/>
        <v>14481405.611666664</v>
      </c>
      <c r="R8" s="99">
        <f t="shared" si="2"/>
        <v>1.3115629036772138</v>
      </c>
    </row>
    <row r="9" spans="3:18" ht="15" customHeight="1" x14ac:dyDescent="0.2">
      <c r="C9" s="74" t="s">
        <v>23</v>
      </c>
      <c r="D9" s="75">
        <f t="shared" ref="D9:P9" si="4">SUM(D10, D11,D12,D13)</f>
        <v>14484950</v>
      </c>
      <c r="E9" s="75">
        <f t="shared" si="4"/>
        <v>7893140</v>
      </c>
      <c r="F9" s="75">
        <f t="shared" si="4"/>
        <v>16727370</v>
      </c>
      <c r="G9" s="75">
        <f t="shared" si="4"/>
        <v>7499313</v>
      </c>
      <c r="H9" s="75">
        <f t="shared" si="4"/>
        <v>7868427</v>
      </c>
      <c r="I9" s="75">
        <f t="shared" si="4"/>
        <v>7322223</v>
      </c>
      <c r="J9" s="75">
        <f t="shared" si="4"/>
        <v>1078640</v>
      </c>
      <c r="K9" s="75">
        <f t="shared" si="4"/>
        <v>639080</v>
      </c>
      <c r="L9" s="75">
        <f t="shared" si="4"/>
        <v>2350000</v>
      </c>
      <c r="M9" s="75">
        <f t="shared" si="4"/>
        <v>3589797</v>
      </c>
      <c r="N9" s="75">
        <f t="shared" si="4"/>
        <v>2880441</v>
      </c>
      <c r="O9" s="75">
        <f t="shared" si="4"/>
        <v>1207400</v>
      </c>
      <c r="P9" s="76">
        <f t="shared" si="4"/>
        <v>73540781</v>
      </c>
      <c r="Q9" s="76">
        <f t="shared" si="1"/>
        <v>6128398.416666667</v>
      </c>
      <c r="R9" s="78">
        <f t="shared" si="2"/>
        <v>0.55504142607390883</v>
      </c>
    </row>
    <row r="10" spans="3:18" ht="15" customHeight="1" x14ac:dyDescent="0.2">
      <c r="C10" s="64" t="s">
        <v>24</v>
      </c>
      <c r="D10" s="65">
        <v>10514250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79">
        <f t="shared" ref="P10:P21" si="5">SUM(D10:O10)</f>
        <v>10514250</v>
      </c>
      <c r="Q10" s="79">
        <f t="shared" si="1"/>
        <v>876187.5</v>
      </c>
      <c r="R10" s="100">
        <f t="shared" si="2"/>
        <v>7.935521264178029E-2</v>
      </c>
    </row>
    <row r="11" spans="3:18" ht="15" customHeight="1" x14ac:dyDescent="0.2">
      <c r="C11" s="64" t="s">
        <v>25</v>
      </c>
      <c r="D11" s="65">
        <v>0</v>
      </c>
      <c r="E11" s="65">
        <v>7893140</v>
      </c>
      <c r="F11" s="65">
        <v>5579395</v>
      </c>
      <c r="G11" s="65">
        <v>4814303</v>
      </c>
      <c r="H11" s="65">
        <v>3166126</v>
      </c>
      <c r="I11" s="65">
        <v>1209369</v>
      </c>
      <c r="J11" s="65">
        <v>742450</v>
      </c>
      <c r="K11" s="65">
        <v>99500</v>
      </c>
      <c r="L11" s="65">
        <v>2350000</v>
      </c>
      <c r="M11" s="65">
        <v>2212360</v>
      </c>
      <c r="N11" s="65">
        <v>2587400</v>
      </c>
      <c r="O11" s="65">
        <v>1007400</v>
      </c>
      <c r="P11" s="79">
        <f t="shared" si="5"/>
        <v>31661443</v>
      </c>
      <c r="Q11" s="79">
        <f t="shared" si="1"/>
        <v>2638453.5833333335</v>
      </c>
      <c r="R11" s="100">
        <f t="shared" si="2"/>
        <v>0.23896146104673241</v>
      </c>
    </row>
    <row r="12" spans="3:18" ht="15" customHeight="1" x14ac:dyDescent="0.2">
      <c r="C12" s="64" t="s">
        <v>26</v>
      </c>
      <c r="D12" s="65">
        <v>3970700</v>
      </c>
      <c r="E12" s="65">
        <v>0</v>
      </c>
      <c r="F12" s="65">
        <v>11147975</v>
      </c>
      <c r="G12" s="65">
        <v>2279510</v>
      </c>
      <c r="H12" s="65">
        <v>2821901</v>
      </c>
      <c r="I12" s="65">
        <v>3741154</v>
      </c>
      <c r="J12" s="65">
        <v>336190</v>
      </c>
      <c r="K12" s="65">
        <v>418580</v>
      </c>
      <c r="L12" s="65">
        <v>0</v>
      </c>
      <c r="M12" s="65">
        <v>1076090</v>
      </c>
      <c r="N12" s="65">
        <v>293041</v>
      </c>
      <c r="O12" s="65">
        <v>200000</v>
      </c>
      <c r="P12" s="79">
        <f t="shared" si="5"/>
        <v>26285141</v>
      </c>
      <c r="Q12" s="79">
        <f t="shared" si="1"/>
        <v>2190428.4166666665</v>
      </c>
      <c r="R12" s="100">
        <f t="shared" si="2"/>
        <v>0.19838437866459116</v>
      </c>
    </row>
    <row r="13" spans="3:18" ht="15" customHeight="1" x14ac:dyDescent="0.2">
      <c r="C13" s="64" t="s">
        <v>27</v>
      </c>
      <c r="D13" s="85">
        <v>0</v>
      </c>
      <c r="E13" s="85">
        <v>0</v>
      </c>
      <c r="F13" s="85">
        <v>0</v>
      </c>
      <c r="G13" s="85">
        <v>405500</v>
      </c>
      <c r="H13" s="85">
        <v>1880400</v>
      </c>
      <c r="I13" s="85">
        <v>2371700</v>
      </c>
      <c r="J13" s="85">
        <v>0</v>
      </c>
      <c r="K13" s="85">
        <v>121000</v>
      </c>
      <c r="L13" s="85">
        <v>0</v>
      </c>
      <c r="M13" s="85">
        <v>301347</v>
      </c>
      <c r="N13" s="85">
        <v>0</v>
      </c>
      <c r="O13" s="85">
        <v>0</v>
      </c>
      <c r="P13" s="79">
        <f t="shared" si="5"/>
        <v>5079947</v>
      </c>
      <c r="Q13" s="79">
        <f t="shared" si="1"/>
        <v>423328.91666666669</v>
      </c>
      <c r="R13" s="100">
        <f t="shared" si="2"/>
        <v>3.8340373720804989E-2</v>
      </c>
    </row>
    <row r="14" spans="3:18" ht="15" customHeight="1" x14ac:dyDescent="0.2">
      <c r="C14" s="74" t="s">
        <v>28</v>
      </c>
      <c r="D14" s="75">
        <f t="shared" ref="D14:O14" si="6">SUM(D15,D16,D21,D22,D23,D24,D25,D26,D27,D28,D29,D17)</f>
        <v>33750</v>
      </c>
      <c r="E14" s="75">
        <f t="shared" si="6"/>
        <v>342700</v>
      </c>
      <c r="F14" s="75">
        <f t="shared" si="6"/>
        <v>333020</v>
      </c>
      <c r="G14" s="75">
        <f t="shared" si="6"/>
        <v>518500</v>
      </c>
      <c r="H14" s="75">
        <f t="shared" si="6"/>
        <v>69209</v>
      </c>
      <c r="I14" s="75">
        <f t="shared" si="6"/>
        <v>7173498.54</v>
      </c>
      <c r="J14" s="75">
        <f t="shared" si="6"/>
        <v>9216564.2199999988</v>
      </c>
      <c r="K14" s="75">
        <f t="shared" si="6"/>
        <v>12348283</v>
      </c>
      <c r="L14" s="75">
        <f t="shared" si="6"/>
        <v>13478149.529999999</v>
      </c>
      <c r="M14" s="75">
        <f t="shared" si="6"/>
        <v>19255500.990000002</v>
      </c>
      <c r="N14" s="75">
        <f t="shared" si="6"/>
        <v>17107620.920000002</v>
      </c>
      <c r="O14" s="75">
        <f t="shared" si="6"/>
        <v>20359290.140000001</v>
      </c>
      <c r="P14" s="83">
        <f t="shared" si="5"/>
        <v>100236086.34</v>
      </c>
      <c r="Q14" s="83">
        <f t="shared" si="1"/>
        <v>8353007.1950000003</v>
      </c>
      <c r="R14" s="78">
        <f t="shared" si="2"/>
        <v>0.75652147760330501</v>
      </c>
    </row>
    <row r="15" spans="3:18" ht="15" customHeight="1" x14ac:dyDescent="0.2">
      <c r="C15" s="84" t="s">
        <v>29</v>
      </c>
      <c r="D15" s="85">
        <v>0</v>
      </c>
      <c r="E15" s="65">
        <v>150000</v>
      </c>
      <c r="F15" s="65">
        <v>300000</v>
      </c>
      <c r="G15" s="65">
        <v>300000</v>
      </c>
      <c r="H15" s="65">
        <v>52500</v>
      </c>
      <c r="I15" s="65">
        <f>214500+1468500</f>
        <v>1683000</v>
      </c>
      <c r="J15" s="65">
        <f>1294129+2671871</f>
        <v>3966000</v>
      </c>
      <c r="K15" s="65">
        <f>1042305+250000+3273695</f>
        <v>4566000</v>
      </c>
      <c r="L15" s="85">
        <v>4924491</v>
      </c>
      <c r="M15" s="85">
        <f>6514129</f>
        <v>6514129</v>
      </c>
      <c r="N15" s="85">
        <v>5882301</v>
      </c>
      <c r="O15" s="85">
        <v>6019994</v>
      </c>
      <c r="P15" s="79">
        <f t="shared" si="5"/>
        <v>34358415</v>
      </c>
      <c r="Q15" s="79">
        <f t="shared" si="1"/>
        <v>2863201.25</v>
      </c>
      <c r="R15" s="100">
        <f t="shared" si="2"/>
        <v>0.2593165778214836</v>
      </c>
    </row>
    <row r="16" spans="3:18" ht="15" customHeight="1" x14ac:dyDescent="0.2">
      <c r="C16" s="84" t="s">
        <v>70</v>
      </c>
      <c r="D16" s="8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61411</v>
      </c>
      <c r="K16" s="65">
        <v>155033</v>
      </c>
      <c r="L16" s="85">
        <v>0</v>
      </c>
      <c r="M16" s="85">
        <v>355077</v>
      </c>
      <c r="N16" s="85">
        <v>0</v>
      </c>
      <c r="O16" s="85">
        <v>561963</v>
      </c>
      <c r="P16" s="79">
        <f t="shared" si="5"/>
        <v>1133484</v>
      </c>
      <c r="Q16" s="79">
        <f t="shared" si="1"/>
        <v>94457</v>
      </c>
      <c r="R16" s="100">
        <f t="shared" si="2"/>
        <v>8.5548530657018514E-3</v>
      </c>
    </row>
    <row r="17" spans="3:18" s="55" customFormat="1" ht="15" customHeight="1" x14ac:dyDescent="0.2">
      <c r="C17" s="86" t="s">
        <v>83</v>
      </c>
      <c r="D17" s="87">
        <f t="shared" ref="D17:O17" si="7">SUM(D18:D20)</f>
        <v>0</v>
      </c>
      <c r="E17" s="87">
        <f t="shared" si="7"/>
        <v>0</v>
      </c>
      <c r="F17" s="87">
        <f t="shared" si="7"/>
        <v>0</v>
      </c>
      <c r="G17" s="87">
        <f t="shared" si="7"/>
        <v>200000</v>
      </c>
      <c r="H17" s="87">
        <f t="shared" si="7"/>
        <v>0</v>
      </c>
      <c r="I17" s="87">
        <f t="shared" si="7"/>
        <v>1834919</v>
      </c>
      <c r="J17" s="87">
        <f t="shared" si="7"/>
        <v>3405482.5</v>
      </c>
      <c r="K17" s="87">
        <f t="shared" si="7"/>
        <v>5257731</v>
      </c>
      <c r="L17" s="87">
        <f t="shared" si="7"/>
        <v>5345163.46</v>
      </c>
      <c r="M17" s="87">
        <f t="shared" si="7"/>
        <v>8616009</v>
      </c>
      <c r="N17" s="87">
        <f t="shared" si="7"/>
        <v>8651045.1500000004</v>
      </c>
      <c r="O17" s="87">
        <f t="shared" si="7"/>
        <v>8796365.5999999996</v>
      </c>
      <c r="P17" s="79">
        <f t="shared" si="5"/>
        <v>42106715.710000001</v>
      </c>
      <c r="Q17" s="79">
        <f t="shared" si="1"/>
        <v>3508892.9758333336</v>
      </c>
      <c r="R17" s="100">
        <f t="shared" si="2"/>
        <v>0.31779607473800231</v>
      </c>
    </row>
    <row r="18" spans="3:18" s="55" customFormat="1" ht="15" customHeight="1" x14ac:dyDescent="0.2">
      <c r="C18" s="36" t="s">
        <v>38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532309</v>
      </c>
      <c r="J18" s="82">
        <v>1960883.5</v>
      </c>
      <c r="K18" s="82">
        <v>1858703</v>
      </c>
      <c r="L18" s="82">
        <v>2337401</v>
      </c>
      <c r="M18" s="82">
        <v>3756388</v>
      </c>
      <c r="N18" s="82">
        <f>1350149.5+2425636</f>
        <v>3775785.5</v>
      </c>
      <c r="O18" s="82">
        <f>1478391+2283681.95</f>
        <v>3762072.95</v>
      </c>
      <c r="P18" s="101">
        <f t="shared" si="5"/>
        <v>17983542.949999999</v>
      </c>
      <c r="Q18" s="89">
        <f t="shared" si="1"/>
        <v>1498628.5791666666</v>
      </c>
      <c r="R18" s="100">
        <f t="shared" si="2"/>
        <v>0.13572892739375977</v>
      </c>
    </row>
    <row r="19" spans="3:18" s="55" customFormat="1" ht="15" customHeight="1" x14ac:dyDescent="0.2">
      <c r="C19" s="36" t="s">
        <v>39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988610</v>
      </c>
      <c r="J19" s="82">
        <v>1158309</v>
      </c>
      <c r="K19" s="82">
        <v>2530953</v>
      </c>
      <c r="L19" s="82">
        <v>1883587.46</v>
      </c>
      <c r="M19" s="82">
        <v>3143573</v>
      </c>
      <c r="N19" s="82">
        <f>2429045+697906.65</f>
        <v>3126951.65</v>
      </c>
      <c r="O19" s="82">
        <f>1437953+1417763.65</f>
        <v>2855716.65</v>
      </c>
      <c r="P19" s="101">
        <f t="shared" si="5"/>
        <v>15687700.760000002</v>
      </c>
      <c r="Q19" s="89">
        <f t="shared" si="1"/>
        <v>1307308.3966666667</v>
      </c>
      <c r="R19" s="100">
        <f t="shared" si="2"/>
        <v>0.11840129630457888</v>
      </c>
    </row>
    <row r="20" spans="3:18" s="55" customFormat="1" ht="15" customHeight="1" x14ac:dyDescent="0.2">
      <c r="C20" s="36" t="s">
        <v>40</v>
      </c>
      <c r="D20" s="82">
        <v>0</v>
      </c>
      <c r="E20" s="82">
        <v>0</v>
      </c>
      <c r="F20" s="82">
        <v>0</v>
      </c>
      <c r="G20" s="82">
        <v>200000</v>
      </c>
      <c r="H20" s="82">
        <v>0</v>
      </c>
      <c r="I20" s="82">
        <v>314000</v>
      </c>
      <c r="J20" s="82">
        <v>286290</v>
      </c>
      <c r="K20" s="82">
        <f>840705+27370</f>
        <v>868075</v>
      </c>
      <c r="L20" s="82">
        <v>1124175</v>
      </c>
      <c r="M20" s="82">
        <v>1716048</v>
      </c>
      <c r="N20" s="82">
        <v>1748308</v>
      </c>
      <c r="O20" s="82">
        <v>2178576</v>
      </c>
      <c r="P20" s="101">
        <f t="shared" si="5"/>
        <v>8435472</v>
      </c>
      <c r="Q20" s="89">
        <f t="shared" si="1"/>
        <v>702956</v>
      </c>
      <c r="R20" s="100">
        <f t="shared" si="2"/>
        <v>6.3665851039663671E-2</v>
      </c>
    </row>
    <row r="21" spans="3:18" ht="15" customHeight="1" x14ac:dyDescent="0.2">
      <c r="C21" s="91" t="s">
        <v>59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227508</v>
      </c>
      <c r="K21" s="85">
        <v>301050</v>
      </c>
      <c r="L21" s="85">
        <v>165415</v>
      </c>
      <c r="M21" s="85">
        <v>982078.89</v>
      </c>
      <c r="N21" s="85">
        <v>353940</v>
      </c>
      <c r="O21" s="85">
        <v>386404</v>
      </c>
      <c r="P21" s="79">
        <f t="shared" si="5"/>
        <v>2416395.89</v>
      </c>
      <c r="Q21" s="79">
        <f t="shared" si="1"/>
        <v>201366.32416666669</v>
      </c>
      <c r="R21" s="100">
        <f t="shared" si="2"/>
        <v>1.8237497651061554E-2</v>
      </c>
    </row>
    <row r="22" spans="3:18" ht="15" customHeight="1" x14ac:dyDescent="0.2">
      <c r="C22" s="64" t="s">
        <v>41</v>
      </c>
      <c r="D22" s="65">
        <v>0</v>
      </c>
      <c r="E22" s="65">
        <v>1700</v>
      </c>
      <c r="F22" s="65">
        <v>0</v>
      </c>
      <c r="G22" s="65">
        <v>0</v>
      </c>
      <c r="H22" s="65">
        <v>10000</v>
      </c>
      <c r="I22" s="65">
        <v>510000</v>
      </c>
      <c r="J22" s="65">
        <v>230180</v>
      </c>
      <c r="K22" s="65">
        <v>0</v>
      </c>
      <c r="L22" s="65">
        <v>1176648</v>
      </c>
      <c r="M22" s="65">
        <v>0</v>
      </c>
      <c r="N22" s="65">
        <v>0</v>
      </c>
      <c r="O22" s="65">
        <v>1840701.18</v>
      </c>
      <c r="P22" s="79">
        <v>3769229.18</v>
      </c>
      <c r="Q22" s="79">
        <f t="shared" si="1"/>
        <v>314102.43166666664</v>
      </c>
      <c r="R22" s="100">
        <f t="shared" si="2"/>
        <v>2.844786675935071E-2</v>
      </c>
    </row>
    <row r="23" spans="3:18" ht="15" customHeight="1" x14ac:dyDescent="0.2">
      <c r="C23" s="64" t="s">
        <v>55</v>
      </c>
      <c r="D23" s="85">
        <v>0</v>
      </c>
      <c r="E23" s="93">
        <v>3000</v>
      </c>
      <c r="F23" s="93">
        <v>3000</v>
      </c>
      <c r="G23" s="85">
        <v>0</v>
      </c>
      <c r="H23" s="85">
        <v>600</v>
      </c>
      <c r="I23" s="85">
        <v>0</v>
      </c>
      <c r="J23" s="85">
        <v>0</v>
      </c>
      <c r="K23" s="85">
        <v>0</v>
      </c>
      <c r="L23" s="85">
        <v>226702.93</v>
      </c>
      <c r="M23" s="85">
        <v>29600</v>
      </c>
      <c r="N23" s="85">
        <v>178976</v>
      </c>
      <c r="O23" s="85">
        <v>0</v>
      </c>
      <c r="P23" s="79">
        <f t="shared" ref="P23:P29" si="8">SUM(D23:O23)</f>
        <v>441878.93</v>
      </c>
      <c r="Q23" s="79">
        <f t="shared" si="1"/>
        <v>36823.244166666664</v>
      </c>
      <c r="R23" s="100">
        <f t="shared" si="2"/>
        <v>3.3350354473283732E-3</v>
      </c>
    </row>
    <row r="24" spans="3:18" ht="15" customHeight="1" x14ac:dyDescent="0.2">
      <c r="C24" s="91" t="s">
        <v>46</v>
      </c>
      <c r="D24" s="85">
        <v>0</v>
      </c>
      <c r="E24" s="85">
        <v>0</v>
      </c>
      <c r="F24" s="85">
        <v>0</v>
      </c>
      <c r="G24" s="85">
        <v>0</v>
      </c>
      <c r="H24" s="85">
        <v>0</v>
      </c>
      <c r="I24" s="85">
        <v>1200000</v>
      </c>
      <c r="J24" s="85">
        <v>1200000</v>
      </c>
      <c r="K24" s="85">
        <v>1200000</v>
      </c>
      <c r="L24" s="85">
        <v>1200000</v>
      </c>
      <c r="M24" s="85">
        <v>800000</v>
      </c>
      <c r="N24" s="85">
        <v>1200000</v>
      </c>
      <c r="O24" s="85">
        <v>1200000</v>
      </c>
      <c r="P24" s="79">
        <f t="shared" si="8"/>
        <v>8000000</v>
      </c>
      <c r="Q24" s="79">
        <f t="shared" si="1"/>
        <v>666666.66666666663</v>
      </c>
      <c r="R24" s="100">
        <f t="shared" si="2"/>
        <v>6.0379171232778597E-2</v>
      </c>
    </row>
    <row r="25" spans="3:18" ht="15" customHeight="1" x14ac:dyDescent="0.2">
      <c r="C25" s="91" t="s">
        <v>84</v>
      </c>
      <c r="D25" s="85">
        <v>0</v>
      </c>
      <c r="E25" s="85">
        <v>185000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277687</v>
      </c>
      <c r="L25" s="85">
        <v>0</v>
      </c>
      <c r="M25" s="85">
        <f>188000+28903.25</f>
        <v>216903.25</v>
      </c>
      <c r="N25" s="85">
        <f>19062.87+187645.7</f>
        <v>206708.57</v>
      </c>
      <c r="O25" s="85">
        <v>776831.57</v>
      </c>
      <c r="P25" s="79">
        <f t="shared" si="8"/>
        <v>1663130.3900000001</v>
      </c>
      <c r="Q25" s="79">
        <f t="shared" si="1"/>
        <v>138594.19916666669</v>
      </c>
      <c r="R25" s="100">
        <f t="shared" si="2"/>
        <v>1.2552304325030982E-2</v>
      </c>
    </row>
    <row r="26" spans="3:18" ht="15" customHeight="1" x14ac:dyDescent="0.2">
      <c r="C26" s="64" t="s">
        <v>60</v>
      </c>
      <c r="D26" s="85">
        <v>21620</v>
      </c>
      <c r="E26" s="85">
        <v>0</v>
      </c>
      <c r="F26" s="94">
        <v>6300</v>
      </c>
      <c r="G26" s="85">
        <v>0</v>
      </c>
      <c r="H26" s="85">
        <v>0</v>
      </c>
      <c r="I26" s="85">
        <v>31984.54</v>
      </c>
      <c r="J26" s="85">
        <v>51032.72</v>
      </c>
      <c r="K26" s="85">
        <v>155724</v>
      </c>
      <c r="L26" s="85">
        <v>167039.14000000001</v>
      </c>
      <c r="M26" s="85">
        <v>306175.84999999998</v>
      </c>
      <c r="N26" s="85">
        <v>43904.2</v>
      </c>
      <c r="O26" s="85">
        <v>83483.789999999994</v>
      </c>
      <c r="P26" s="79">
        <f t="shared" si="8"/>
        <v>867264.24</v>
      </c>
      <c r="Q26" s="79">
        <f t="shared" si="1"/>
        <v>72272.02</v>
      </c>
      <c r="R26" s="100">
        <f t="shared" si="2"/>
        <v>6.5455870063781986E-3</v>
      </c>
    </row>
    <row r="27" spans="3:18" ht="15" customHeight="1" x14ac:dyDescent="0.2">
      <c r="C27" s="64" t="s">
        <v>69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79">
        <f t="shared" si="8"/>
        <v>0</v>
      </c>
      <c r="Q27" s="79">
        <f t="shared" si="1"/>
        <v>0</v>
      </c>
      <c r="R27" s="100">
        <f t="shared" si="2"/>
        <v>0</v>
      </c>
    </row>
    <row r="28" spans="3:18" ht="15" customHeight="1" x14ac:dyDescent="0.2">
      <c r="C28" s="64" t="s">
        <v>85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101000</v>
      </c>
      <c r="J28" s="65">
        <v>41000</v>
      </c>
      <c r="K28" s="65">
        <v>41000</v>
      </c>
      <c r="L28" s="65">
        <v>41000</v>
      </c>
      <c r="M28" s="65">
        <v>58400</v>
      </c>
      <c r="N28" s="65">
        <v>74990</v>
      </c>
      <c r="O28" s="65">
        <v>74990</v>
      </c>
      <c r="P28" s="79">
        <f t="shared" si="8"/>
        <v>432380</v>
      </c>
      <c r="Q28" s="79">
        <f t="shared" si="1"/>
        <v>36031.666666666664</v>
      </c>
      <c r="R28" s="100">
        <f t="shared" si="2"/>
        <v>3.263343257203601E-3</v>
      </c>
    </row>
    <row r="29" spans="3:18" ht="15" customHeight="1" x14ac:dyDescent="0.2">
      <c r="C29" s="64" t="s">
        <v>58</v>
      </c>
      <c r="D29" s="85">
        <v>12130</v>
      </c>
      <c r="E29" s="85">
        <v>3000</v>
      </c>
      <c r="F29" s="85">
        <v>23720</v>
      </c>
      <c r="G29" s="85">
        <v>18500</v>
      </c>
      <c r="H29" s="85">
        <v>6109</v>
      </c>
      <c r="I29" s="85">
        <v>1812595</v>
      </c>
      <c r="J29" s="85">
        <v>33950</v>
      </c>
      <c r="K29" s="85">
        <v>394058</v>
      </c>
      <c r="L29" s="85">
        <v>231690</v>
      </c>
      <c r="M29" s="85">
        <v>1377128</v>
      </c>
      <c r="N29" s="85">
        <v>515756</v>
      </c>
      <c r="O29" s="85">
        <v>618557</v>
      </c>
      <c r="P29" s="79">
        <f t="shared" si="8"/>
        <v>5047193</v>
      </c>
      <c r="Q29" s="79">
        <f t="shared" si="1"/>
        <v>420599.41666666669</v>
      </c>
      <c r="R29" s="100">
        <f t="shared" si="2"/>
        <v>3.8093166298985189E-2</v>
      </c>
    </row>
    <row r="30" spans="3:18" ht="27.75" customHeight="1" x14ac:dyDescent="0.2">
      <c r="C30" s="43" t="s">
        <v>77</v>
      </c>
      <c r="D30" s="44">
        <f t="shared" ref="D30:P30" si="9">D3-D14</f>
        <v>-33750</v>
      </c>
      <c r="E30" s="44">
        <f t="shared" si="9"/>
        <v>-342700</v>
      </c>
      <c r="F30" s="44">
        <f t="shared" si="9"/>
        <v>-333020</v>
      </c>
      <c r="G30" s="44">
        <f t="shared" si="9"/>
        <v>-518500</v>
      </c>
      <c r="H30" s="44">
        <f t="shared" si="9"/>
        <v>-69209</v>
      </c>
      <c r="I30" s="44">
        <f t="shared" si="9"/>
        <v>-1253395.54</v>
      </c>
      <c r="J30" s="44">
        <f t="shared" si="9"/>
        <v>2618679.7800000012</v>
      </c>
      <c r="K30" s="44">
        <f t="shared" si="9"/>
        <v>2735215</v>
      </c>
      <c r="L30" s="44">
        <f t="shared" si="9"/>
        <v>3620192.4700000007</v>
      </c>
      <c r="M30" s="44">
        <f t="shared" si="9"/>
        <v>7832407.0099999979</v>
      </c>
      <c r="N30" s="44">
        <f t="shared" si="9"/>
        <v>9053413.0799999982</v>
      </c>
      <c r="O30" s="44">
        <f t="shared" si="9"/>
        <v>8950602.8599999994</v>
      </c>
      <c r="P30" s="44">
        <f t="shared" si="9"/>
        <v>32259935.659999996</v>
      </c>
      <c r="Q30" s="44">
        <f t="shared" si="1"/>
        <v>2688327.9716666662</v>
      </c>
      <c r="R30" s="46">
        <f t="shared" si="2"/>
        <v>0.24347852239669501</v>
      </c>
    </row>
    <row r="31" spans="3:18" ht="15" customHeight="1" x14ac:dyDescent="0.2">
      <c r="C31" s="43" t="s">
        <v>78</v>
      </c>
      <c r="D31" s="44">
        <f t="shared" ref="D31:P31" si="10">D3-D8</f>
        <v>-14518700</v>
      </c>
      <c r="E31" s="44">
        <f t="shared" si="10"/>
        <v>-8235840</v>
      </c>
      <c r="F31" s="44">
        <f t="shared" si="10"/>
        <v>-17060390</v>
      </c>
      <c r="G31" s="44">
        <f t="shared" si="10"/>
        <v>-8017813</v>
      </c>
      <c r="H31" s="44">
        <f t="shared" si="10"/>
        <v>-7937636</v>
      </c>
      <c r="I31" s="44">
        <f t="shared" si="10"/>
        <v>-8575618.5399999991</v>
      </c>
      <c r="J31" s="44">
        <f t="shared" si="10"/>
        <v>1540039.7800000012</v>
      </c>
      <c r="K31" s="44">
        <f t="shared" si="10"/>
        <v>2096135</v>
      </c>
      <c r="L31" s="44">
        <f t="shared" si="10"/>
        <v>1270192.4700000007</v>
      </c>
      <c r="M31" s="44">
        <f t="shared" si="10"/>
        <v>4242610.0099999979</v>
      </c>
      <c r="N31" s="44">
        <f t="shared" si="10"/>
        <v>6172972.0799999982</v>
      </c>
      <c r="O31" s="44">
        <f t="shared" si="10"/>
        <v>7743202.8599999994</v>
      </c>
      <c r="P31" s="44">
        <f t="shared" si="10"/>
        <v>-41280845.340000004</v>
      </c>
      <c r="Q31" s="44">
        <f t="shared" si="1"/>
        <v>-3440070.4450000003</v>
      </c>
      <c r="R31" s="46">
        <f t="shared" si="2"/>
        <v>-0.31156290367721384</v>
      </c>
    </row>
    <row r="32" spans="3:18" ht="15" customHeight="1" x14ac:dyDescent="0.2">
      <c r="C32" s="47" t="s">
        <v>79</v>
      </c>
      <c r="D32" s="48">
        <f t="shared" ref="D32:P32" si="11">IF(D3=0, 0, D30/D3)</f>
        <v>0</v>
      </c>
      <c r="E32" s="48">
        <f t="shared" si="11"/>
        <v>0</v>
      </c>
      <c r="F32" s="48">
        <f t="shared" si="11"/>
        <v>0</v>
      </c>
      <c r="G32" s="48">
        <f t="shared" si="11"/>
        <v>0</v>
      </c>
      <c r="H32" s="48">
        <f t="shared" si="11"/>
        <v>0</v>
      </c>
      <c r="I32" s="48">
        <f t="shared" si="11"/>
        <v>-0.21171853597817472</v>
      </c>
      <c r="J32" s="48">
        <f t="shared" si="11"/>
        <v>0.22126115693094298</v>
      </c>
      <c r="K32" s="48">
        <f t="shared" si="11"/>
        <v>0.18133824130185186</v>
      </c>
      <c r="L32" s="48">
        <f t="shared" si="11"/>
        <v>0.21172769090710669</v>
      </c>
      <c r="M32" s="48">
        <f t="shared" si="11"/>
        <v>0.28914772635819636</v>
      </c>
      <c r="N32" s="48">
        <f t="shared" si="11"/>
        <v>0.3460648030960855</v>
      </c>
      <c r="O32" s="48">
        <f t="shared" si="11"/>
        <v>0.30537821683620608</v>
      </c>
      <c r="P32" s="48">
        <f t="shared" si="11"/>
        <v>0.24347852239669501</v>
      </c>
      <c r="Q32" s="48">
        <f t="shared" si="1"/>
        <v>0.11193327495435124</v>
      </c>
      <c r="R32" s="46"/>
    </row>
    <row r="33" spans="3:18" ht="15" customHeight="1" x14ac:dyDescent="0.2">
      <c r="C33" s="47" t="s">
        <v>86</v>
      </c>
      <c r="D33" s="48">
        <f t="shared" ref="D33:P33" si="12">IF(D3=0, 0, D17/D3)</f>
        <v>0</v>
      </c>
      <c r="E33" s="48">
        <f t="shared" si="12"/>
        <v>0</v>
      </c>
      <c r="F33" s="48">
        <f t="shared" si="12"/>
        <v>0</v>
      </c>
      <c r="G33" s="48">
        <f t="shared" si="12"/>
        <v>0</v>
      </c>
      <c r="H33" s="48">
        <f t="shared" si="12"/>
        <v>0</v>
      </c>
      <c r="I33" s="48">
        <f t="shared" si="12"/>
        <v>0.30994714112237576</v>
      </c>
      <c r="J33" s="48">
        <f t="shared" si="12"/>
        <v>0.28774079351469223</v>
      </c>
      <c r="K33" s="48">
        <f t="shared" si="12"/>
        <v>0.3485750453906647</v>
      </c>
      <c r="L33" s="48">
        <f t="shared" si="12"/>
        <v>0.31261296914051667</v>
      </c>
      <c r="M33" s="48">
        <f t="shared" si="12"/>
        <v>0.31807583664268202</v>
      </c>
      <c r="N33" s="48">
        <f t="shared" si="12"/>
        <v>0.33068437394332351</v>
      </c>
      <c r="O33" s="48">
        <f t="shared" si="12"/>
        <v>0.30011592331640374</v>
      </c>
      <c r="P33" s="48">
        <f t="shared" si="12"/>
        <v>0.31779607473800231</v>
      </c>
      <c r="Q33" s="48">
        <f t="shared" si="1"/>
        <v>0.18397934025588822</v>
      </c>
      <c r="R33" s="46"/>
    </row>
    <row r="34" spans="3:18" ht="15" customHeight="1" x14ac:dyDescent="0.2">
      <c r="C34" s="50" t="s">
        <v>18</v>
      </c>
      <c r="D34" s="51">
        <f t="shared" ref="D34:P34" si="13">IF(D4=0, 0, D18/D4)</f>
        <v>0</v>
      </c>
      <c r="E34" s="51">
        <f t="shared" si="13"/>
        <v>0</v>
      </c>
      <c r="F34" s="51">
        <f t="shared" si="13"/>
        <v>0</v>
      </c>
      <c r="G34" s="51">
        <f t="shared" si="13"/>
        <v>0</v>
      </c>
      <c r="H34" s="51">
        <f t="shared" si="13"/>
        <v>0</v>
      </c>
      <c r="I34" s="51">
        <f t="shared" si="13"/>
        <v>0.32444571492656665</v>
      </c>
      <c r="J34" s="51">
        <f t="shared" si="13"/>
        <v>0.55128134843388565</v>
      </c>
      <c r="K34" s="51">
        <f t="shared" si="13"/>
        <v>0.43765029709171521</v>
      </c>
      <c r="L34" s="51">
        <f t="shared" si="13"/>
        <v>0.50807564746251388</v>
      </c>
      <c r="M34" s="51">
        <f t="shared" si="13"/>
        <v>0.48221756086790196</v>
      </c>
      <c r="N34" s="51">
        <f t="shared" si="13"/>
        <v>0.49549131095604548</v>
      </c>
      <c r="O34" s="51">
        <f t="shared" si="13"/>
        <v>0.4175840257782652</v>
      </c>
      <c r="P34" s="51">
        <f t="shared" si="13"/>
        <v>0.46753761148919687</v>
      </c>
      <c r="Q34" s="51">
        <f t="shared" si="1"/>
        <v>0.26806215879307455</v>
      </c>
      <c r="R34" s="52"/>
    </row>
    <row r="35" spans="3:18" ht="15" customHeight="1" x14ac:dyDescent="0.2">
      <c r="C35" s="50" t="s">
        <v>19</v>
      </c>
      <c r="D35" s="51">
        <f t="shared" ref="D35:P35" si="14">IF(D5=0, 0, D19/D5)</f>
        <v>0</v>
      </c>
      <c r="E35" s="51">
        <f t="shared" si="14"/>
        <v>0</v>
      </c>
      <c r="F35" s="51">
        <f t="shared" si="14"/>
        <v>0</v>
      </c>
      <c r="G35" s="51">
        <f t="shared" si="14"/>
        <v>0</v>
      </c>
      <c r="H35" s="51">
        <f t="shared" si="14"/>
        <v>0</v>
      </c>
      <c r="I35" s="51">
        <f t="shared" si="14"/>
        <v>0.39611962162664643</v>
      </c>
      <c r="J35" s="51">
        <f t="shared" si="14"/>
        <v>0.24844884230774428</v>
      </c>
      <c r="K35" s="51">
        <f t="shared" si="14"/>
        <v>0.43524983821853458</v>
      </c>
      <c r="L35" s="51">
        <f t="shared" si="14"/>
        <v>0.2732631311091458</v>
      </c>
      <c r="M35" s="51">
        <f t="shared" si="14"/>
        <v>0.31066879157143074</v>
      </c>
      <c r="N35" s="51">
        <f t="shared" si="14"/>
        <v>0.33905028994832087</v>
      </c>
      <c r="O35" s="51">
        <f t="shared" si="14"/>
        <v>0.25509147357008871</v>
      </c>
      <c r="P35" s="51">
        <f t="shared" si="14"/>
        <v>0.31125115131691533</v>
      </c>
      <c r="Q35" s="51">
        <f t="shared" si="1"/>
        <v>0.1881576656959926</v>
      </c>
      <c r="R35" s="52"/>
    </row>
    <row r="36" spans="3:18" ht="15" customHeight="1" x14ac:dyDescent="0.2">
      <c r="C36" s="50" t="s">
        <v>20</v>
      </c>
      <c r="D36" s="51">
        <f t="shared" ref="D36:P36" si="15">IF(D6=0, 0, D20/D6)</f>
        <v>0</v>
      </c>
      <c r="E36" s="51">
        <f t="shared" si="15"/>
        <v>0</v>
      </c>
      <c r="F36" s="51">
        <f t="shared" si="15"/>
        <v>0</v>
      </c>
      <c r="G36" s="51">
        <f t="shared" si="15"/>
        <v>0</v>
      </c>
      <c r="H36" s="51">
        <f t="shared" si="15"/>
        <v>0</v>
      </c>
      <c r="I36" s="51">
        <f t="shared" si="15"/>
        <v>0.18236199436652437</v>
      </c>
      <c r="J36" s="51">
        <f t="shared" si="15"/>
        <v>7.9170382660997615E-2</v>
      </c>
      <c r="K36" s="51">
        <f t="shared" si="15"/>
        <v>0.17286993059911782</v>
      </c>
      <c r="L36" s="51">
        <f t="shared" si="15"/>
        <v>0.20057003693197023</v>
      </c>
      <c r="M36" s="51">
        <f t="shared" si="15"/>
        <v>0.18694636663122483</v>
      </c>
      <c r="N36" s="51">
        <f t="shared" si="15"/>
        <v>0.18762554906756443</v>
      </c>
      <c r="O36" s="51">
        <f t="shared" si="15"/>
        <v>0.23924936414712253</v>
      </c>
      <c r="P36" s="51">
        <f t="shared" si="15"/>
        <v>0.19361740976435887</v>
      </c>
      <c r="Q36" s="51">
        <f t="shared" si="1"/>
        <v>0.10406613536704347</v>
      </c>
      <c r="R36" s="52"/>
    </row>
    <row r="37" spans="3:18" ht="15" customHeight="1" x14ac:dyDescent="0.2">
      <c r="C37" s="47" t="s">
        <v>81</v>
      </c>
      <c r="D37" s="44">
        <f>D31</f>
        <v>-14518700</v>
      </c>
      <c r="E37" s="44">
        <f t="shared" ref="E37:O37" si="16">D37+E31</f>
        <v>-22754540</v>
      </c>
      <c r="F37" s="44">
        <f t="shared" si="16"/>
        <v>-39814930</v>
      </c>
      <c r="G37" s="44">
        <f t="shared" si="16"/>
        <v>-47832743</v>
      </c>
      <c r="H37" s="44">
        <f t="shared" si="16"/>
        <v>-55770379</v>
      </c>
      <c r="I37" s="44">
        <f t="shared" si="16"/>
        <v>-64345997.539999999</v>
      </c>
      <c r="J37" s="44">
        <f t="shared" si="16"/>
        <v>-62805957.759999998</v>
      </c>
      <c r="K37" s="44">
        <f t="shared" si="16"/>
        <v>-60709822.759999998</v>
      </c>
      <c r="L37" s="44">
        <f t="shared" si="16"/>
        <v>-59439630.289999999</v>
      </c>
      <c r="M37" s="44">
        <f t="shared" si="16"/>
        <v>-55197020.280000001</v>
      </c>
      <c r="N37" s="44">
        <f t="shared" si="16"/>
        <v>-49024048.200000003</v>
      </c>
      <c r="O37" s="44">
        <f t="shared" si="16"/>
        <v>-41280845.340000004</v>
      </c>
      <c r="P37" s="53"/>
      <c r="Q37" s="53"/>
      <c r="R37" s="54"/>
    </row>
  </sheetData>
  <sheetProtection algorithmName="SHA-512" hashValue="if/h8Hur9vb2uR3LovzzPFgAyZXlC7OremcxgPt0VMjDZSaea/r0Rg5mOQTm1KknA6B09oYChNx9QfHYs58JsA==" saltValue="V/8o4xTiUheYLZcgzIQlCw==" spinCount="100000" sheet="1" objects="1" scenarios="1"/>
  <pageMargins left="0.7" right="0.7" top="0.75" bottom="0.75" header="0.511811023622047" footer="0.3"/>
  <pageSetup orientation="portrait" horizontalDpi="300" verticalDpi="300"/>
  <headerFooter>
    <oddFooter>&amp;C&amp;10 _x005F_x000d_# Schlumberger-Private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S37"/>
  <sheetViews>
    <sheetView topLeftCell="B10" zoomScale="140" zoomScaleNormal="140" workbookViewId="0">
      <pane xSplit="2" topLeftCell="J1" activePane="topRight" state="frozen"/>
      <selection activeCell="B1" sqref="B1"/>
      <selection pane="topRight" activeCell="O25" sqref="O25"/>
    </sheetView>
  </sheetViews>
  <sheetFormatPr baseColWidth="10" defaultColWidth="8.83203125" defaultRowHeight="15" customHeight="1" x14ac:dyDescent="0.2"/>
  <cols>
    <col min="2" max="2" width="5.83203125" customWidth="1"/>
    <col min="3" max="3" width="30.83203125" customWidth="1"/>
    <col min="4" max="15" width="14.83203125" customWidth="1"/>
    <col min="16" max="17" width="14.83203125" style="55" customWidth="1"/>
    <col min="18" max="18" width="14.83203125" customWidth="1"/>
  </cols>
  <sheetData>
    <row r="1" spans="3:19" ht="15" customHeight="1" x14ac:dyDescent="0.2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7" t="s">
        <v>0</v>
      </c>
      <c r="Q1" s="57"/>
    </row>
    <row r="2" spans="3:19" ht="30" customHeight="1" x14ac:dyDescent="0.2">
      <c r="C2" s="5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</row>
    <row r="3" spans="3:19" ht="15" customHeight="1" x14ac:dyDescent="0.2">
      <c r="C3" s="59" t="s">
        <v>17</v>
      </c>
      <c r="D3" s="60">
        <f t="shared" ref="D3:P3" si="0">SUM(D4:D7)</f>
        <v>29283418.5</v>
      </c>
      <c r="E3" s="60">
        <f t="shared" si="0"/>
        <v>27689917</v>
      </c>
      <c r="F3" s="60">
        <f t="shared" si="0"/>
        <v>28607228</v>
      </c>
      <c r="G3" s="60">
        <f t="shared" si="0"/>
        <v>26693970.5</v>
      </c>
      <c r="H3" s="60">
        <f t="shared" si="0"/>
        <v>29263063.740000002</v>
      </c>
      <c r="I3" s="60">
        <f t="shared" si="0"/>
        <v>23012443.530000001</v>
      </c>
      <c r="J3" s="60">
        <f t="shared" si="0"/>
        <v>26287974.5</v>
      </c>
      <c r="K3" s="60">
        <f t="shared" si="0"/>
        <v>26147768</v>
      </c>
      <c r="L3" s="60">
        <f t="shared" si="0"/>
        <v>28311908</v>
      </c>
      <c r="M3" s="60">
        <f t="shared" si="0"/>
        <v>29525684</v>
      </c>
      <c r="N3" s="60">
        <f t="shared" si="0"/>
        <v>27730232</v>
      </c>
      <c r="O3" s="60">
        <f t="shared" si="0"/>
        <v>28979625</v>
      </c>
      <c r="P3" s="61">
        <f t="shared" si="0"/>
        <v>331533232.76999998</v>
      </c>
      <c r="Q3" s="61">
        <f t="shared" ref="Q3:Q36" si="1">AVERAGEIF(D3:O3, "&lt;&gt;")</f>
        <v>27627769.397499997</v>
      </c>
      <c r="R3" s="97">
        <v>1</v>
      </c>
    </row>
    <row r="4" spans="3:19" ht="15" customHeight="1" x14ac:dyDescent="0.2">
      <c r="C4" s="64" t="s">
        <v>18</v>
      </c>
      <c r="D4" s="33">
        <v>8627203</v>
      </c>
      <c r="E4" s="33">
        <v>7918543</v>
      </c>
      <c r="F4" s="33">
        <v>8522256</v>
      </c>
      <c r="G4" s="33">
        <v>7538529</v>
      </c>
      <c r="H4" s="33">
        <v>8097980</v>
      </c>
      <c r="I4" s="33">
        <v>6458306.5</v>
      </c>
      <c r="J4" s="33">
        <v>7442732</v>
      </c>
      <c r="K4" s="33">
        <v>7670962</v>
      </c>
      <c r="L4" s="33">
        <v>8700546</v>
      </c>
      <c r="M4" s="33">
        <v>9669746</v>
      </c>
      <c r="N4" s="33">
        <v>8787726</v>
      </c>
      <c r="O4" s="33">
        <v>9799813</v>
      </c>
      <c r="P4" s="66">
        <f>SUM(D4:O4)</f>
        <v>99234342.5</v>
      </c>
      <c r="Q4" s="66">
        <f t="shared" si="1"/>
        <v>8269528.541666667</v>
      </c>
      <c r="R4" s="98">
        <f t="shared" ref="R4:R31" si="2">IF(P$3=0, 0, P4/P$3)</f>
        <v>0.29931944279276362</v>
      </c>
    </row>
    <row r="5" spans="3:19" ht="15" customHeight="1" x14ac:dyDescent="0.2">
      <c r="C5" s="64" t="s">
        <v>19</v>
      </c>
      <c r="D5" s="33">
        <v>10782115.5</v>
      </c>
      <c r="E5" s="33">
        <v>10499224</v>
      </c>
      <c r="F5" s="33">
        <v>10215187</v>
      </c>
      <c r="G5" s="33">
        <v>9333941.5</v>
      </c>
      <c r="H5" s="33">
        <v>11316383.74</v>
      </c>
      <c r="I5" s="33">
        <v>8785657.0299999993</v>
      </c>
      <c r="J5" s="33">
        <v>9388117.5</v>
      </c>
      <c r="K5" s="33">
        <v>9551056</v>
      </c>
      <c r="L5" s="33">
        <v>10248212</v>
      </c>
      <c r="M5" s="33">
        <v>10774708</v>
      </c>
      <c r="N5" s="33">
        <v>10445631</v>
      </c>
      <c r="O5" s="33">
        <v>10885462</v>
      </c>
      <c r="P5" s="66">
        <f>SUM(D5:O5)</f>
        <v>122225695.27000001</v>
      </c>
      <c r="Q5" s="66">
        <f t="shared" si="1"/>
        <v>10185474.605833335</v>
      </c>
      <c r="R5" s="98">
        <f t="shared" si="2"/>
        <v>0.36866800425643503</v>
      </c>
    </row>
    <row r="6" spans="3:19" ht="15" customHeight="1" x14ac:dyDescent="0.2">
      <c r="C6" s="64" t="s">
        <v>20</v>
      </c>
      <c r="D6" s="33">
        <v>9874100</v>
      </c>
      <c r="E6" s="33">
        <v>9272150</v>
      </c>
      <c r="F6" s="33">
        <v>9869785</v>
      </c>
      <c r="G6" s="33">
        <v>9821500</v>
      </c>
      <c r="H6" s="33">
        <v>9848700</v>
      </c>
      <c r="I6" s="33">
        <v>7768480</v>
      </c>
      <c r="J6" s="33">
        <v>9457125</v>
      </c>
      <c r="K6" s="33">
        <v>8925750</v>
      </c>
      <c r="L6" s="33">
        <v>9363150</v>
      </c>
      <c r="M6" s="33">
        <v>9081230</v>
      </c>
      <c r="N6" s="33">
        <v>8496875</v>
      </c>
      <c r="O6" s="33">
        <v>8294350</v>
      </c>
      <c r="P6" s="66">
        <f>SUM(D6:O6)</f>
        <v>110073195</v>
      </c>
      <c r="Q6" s="66">
        <f t="shared" si="1"/>
        <v>9172766.25</v>
      </c>
      <c r="R6" s="98">
        <f t="shared" si="2"/>
        <v>0.33201255295080145</v>
      </c>
    </row>
    <row r="7" spans="3:19" ht="15" customHeight="1" x14ac:dyDescent="0.2">
      <c r="C7" s="64" t="s">
        <v>21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66">
        <f>SUM(D7:O7)</f>
        <v>0</v>
      </c>
      <c r="Q7" s="66">
        <f t="shared" si="1"/>
        <v>0</v>
      </c>
      <c r="R7" s="98">
        <f t="shared" si="2"/>
        <v>0</v>
      </c>
    </row>
    <row r="8" spans="3:19" ht="15" customHeight="1" x14ac:dyDescent="0.2">
      <c r="C8" s="69" t="s">
        <v>22</v>
      </c>
      <c r="D8" s="70">
        <f t="shared" ref="D8:P8" si="3">SUM(D9,D14)</f>
        <v>20967962.980000004</v>
      </c>
      <c r="E8" s="70">
        <f t="shared" si="3"/>
        <v>19075516.890000001</v>
      </c>
      <c r="F8" s="70">
        <f t="shared" si="3"/>
        <v>20520057.260000002</v>
      </c>
      <c r="G8" s="70">
        <f t="shared" si="3"/>
        <v>18223014.620000001</v>
      </c>
      <c r="H8" s="70">
        <f t="shared" si="3"/>
        <v>21486698.310000002</v>
      </c>
      <c r="I8" s="70">
        <f t="shared" si="3"/>
        <v>20450697.510000002</v>
      </c>
      <c r="J8" s="70">
        <f t="shared" si="3"/>
        <v>20586890</v>
      </c>
      <c r="K8" s="70">
        <f t="shared" si="3"/>
        <v>18920069.859999999</v>
      </c>
      <c r="L8" s="70">
        <f t="shared" si="3"/>
        <v>20258294.43</v>
      </c>
      <c r="M8" s="70">
        <f t="shared" si="3"/>
        <v>19510923.549999997</v>
      </c>
      <c r="N8" s="70">
        <f t="shared" si="3"/>
        <v>22411704.77</v>
      </c>
      <c r="O8" s="70">
        <f t="shared" si="3"/>
        <v>22708393.789999999</v>
      </c>
      <c r="P8" s="71">
        <f t="shared" si="3"/>
        <v>245120223.97000003</v>
      </c>
      <c r="Q8" s="71">
        <f t="shared" si="1"/>
        <v>20426685.330833334</v>
      </c>
      <c r="R8" s="99">
        <f t="shared" si="2"/>
        <v>0.73935340334358368</v>
      </c>
    </row>
    <row r="9" spans="3:19" ht="15" customHeight="1" x14ac:dyDescent="0.2">
      <c r="C9" s="74" t="s">
        <v>23</v>
      </c>
      <c r="D9" s="75">
        <f t="shared" ref="D9:P9" si="4">SUM(D10, D11,D12,D13)</f>
        <v>263000</v>
      </c>
      <c r="E9" s="75">
        <f t="shared" si="4"/>
        <v>562570</v>
      </c>
      <c r="F9" s="75">
        <f t="shared" si="4"/>
        <v>1649600</v>
      </c>
      <c r="G9" s="75">
        <f t="shared" si="4"/>
        <v>1714432</v>
      </c>
      <c r="H9" s="75">
        <f t="shared" si="4"/>
        <v>425900</v>
      </c>
      <c r="I9" s="75">
        <f t="shared" si="4"/>
        <v>0</v>
      </c>
      <c r="J9" s="75">
        <f t="shared" si="4"/>
        <v>74900</v>
      </c>
      <c r="K9" s="75">
        <f t="shared" si="4"/>
        <v>0</v>
      </c>
      <c r="L9" s="75">
        <f t="shared" si="4"/>
        <v>60000</v>
      </c>
      <c r="M9" s="75">
        <f t="shared" si="4"/>
        <v>816416</v>
      </c>
      <c r="N9" s="75">
        <f t="shared" si="4"/>
        <v>0</v>
      </c>
      <c r="O9" s="75">
        <f t="shared" si="4"/>
        <v>0</v>
      </c>
      <c r="P9" s="76">
        <f t="shared" si="4"/>
        <v>5566818</v>
      </c>
      <c r="Q9" s="76">
        <f t="shared" si="1"/>
        <v>463901.5</v>
      </c>
      <c r="R9" s="78">
        <f t="shared" si="2"/>
        <v>1.679113117405627E-2</v>
      </c>
    </row>
    <row r="10" spans="3:19" ht="15" customHeight="1" x14ac:dyDescent="0.2">
      <c r="C10" s="64" t="s">
        <v>24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79">
        <f t="shared" ref="P10:P29" si="5">SUM(D10:O10)</f>
        <v>0</v>
      </c>
      <c r="Q10" s="79">
        <f t="shared" si="1"/>
        <v>0</v>
      </c>
      <c r="R10" s="100">
        <f t="shared" si="2"/>
        <v>0</v>
      </c>
    </row>
    <row r="11" spans="3:19" ht="15" customHeight="1" x14ac:dyDescent="0.2">
      <c r="C11" s="64" t="s">
        <v>25</v>
      </c>
      <c r="D11" s="65">
        <v>263000</v>
      </c>
      <c r="E11" s="65">
        <v>190000</v>
      </c>
      <c r="F11" s="65">
        <v>1541500</v>
      </c>
      <c r="G11" s="65">
        <v>1228000</v>
      </c>
      <c r="H11" s="65">
        <v>260000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79">
        <f t="shared" si="5"/>
        <v>3482500</v>
      </c>
      <c r="Q11" s="79">
        <f t="shared" si="1"/>
        <v>290208.33333333331</v>
      </c>
      <c r="R11" s="100">
        <f t="shared" si="2"/>
        <v>1.0504225989362497E-2</v>
      </c>
    </row>
    <row r="12" spans="3:19" ht="15" customHeight="1" x14ac:dyDescent="0.2">
      <c r="C12" s="64" t="s">
        <v>26</v>
      </c>
      <c r="D12" s="65">
        <v>0</v>
      </c>
      <c r="E12" s="65">
        <v>372570</v>
      </c>
      <c r="F12" s="65">
        <v>108100</v>
      </c>
      <c r="G12" s="65">
        <v>486432</v>
      </c>
      <c r="H12" s="65">
        <v>165900</v>
      </c>
      <c r="I12" s="65">
        <v>0</v>
      </c>
      <c r="J12" s="65">
        <v>74900</v>
      </c>
      <c r="K12" s="65">
        <v>0</v>
      </c>
      <c r="L12" s="65">
        <v>60000</v>
      </c>
      <c r="M12" s="65">
        <v>816416</v>
      </c>
      <c r="N12" s="65">
        <v>0</v>
      </c>
      <c r="O12" s="65">
        <v>0</v>
      </c>
      <c r="P12" s="79">
        <f t="shared" si="5"/>
        <v>2084318</v>
      </c>
      <c r="Q12" s="79">
        <f t="shared" si="1"/>
        <v>173693.16666666666</v>
      </c>
      <c r="R12" s="100">
        <f t="shared" si="2"/>
        <v>6.2869051846937722E-3</v>
      </c>
    </row>
    <row r="13" spans="3:19" ht="15" customHeight="1" x14ac:dyDescent="0.2">
      <c r="C13" s="64" t="s">
        <v>27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79">
        <f t="shared" si="5"/>
        <v>0</v>
      </c>
      <c r="Q13" s="79">
        <f t="shared" si="1"/>
        <v>0</v>
      </c>
      <c r="R13" s="100">
        <f t="shared" si="2"/>
        <v>0</v>
      </c>
    </row>
    <row r="14" spans="3:19" ht="14.25" customHeight="1" x14ac:dyDescent="0.2">
      <c r="C14" s="74" t="s">
        <v>28</v>
      </c>
      <c r="D14" s="75">
        <f t="shared" ref="D14:O14" si="6">SUM(D15,D16,D21,D22,D23,D24,D25,D26,D27,D28,D29,D17)</f>
        <v>20704962.980000004</v>
      </c>
      <c r="E14" s="75">
        <f t="shared" si="6"/>
        <v>18512946.890000001</v>
      </c>
      <c r="F14" s="75">
        <f t="shared" si="6"/>
        <v>18870457.260000002</v>
      </c>
      <c r="G14" s="75">
        <f t="shared" si="6"/>
        <v>16508582.620000001</v>
      </c>
      <c r="H14" s="75">
        <f t="shared" si="6"/>
        <v>21060798.310000002</v>
      </c>
      <c r="I14" s="75">
        <f t="shared" si="6"/>
        <v>20450697.510000002</v>
      </c>
      <c r="J14" s="75">
        <f t="shared" si="6"/>
        <v>20511990</v>
      </c>
      <c r="K14" s="75">
        <f t="shared" si="6"/>
        <v>18920069.859999999</v>
      </c>
      <c r="L14" s="75">
        <f t="shared" si="6"/>
        <v>20198294.43</v>
      </c>
      <c r="M14" s="75">
        <f t="shared" si="6"/>
        <v>18694507.549999997</v>
      </c>
      <c r="N14" s="75">
        <f t="shared" si="6"/>
        <v>22411704.77</v>
      </c>
      <c r="O14" s="75">
        <f t="shared" si="6"/>
        <v>22708393.789999999</v>
      </c>
      <c r="P14" s="83">
        <f t="shared" si="5"/>
        <v>239553405.97000003</v>
      </c>
      <c r="Q14" s="83">
        <f t="shared" si="1"/>
        <v>19962783.830833334</v>
      </c>
      <c r="R14" s="78">
        <f t="shared" si="2"/>
        <v>0.72256227216952751</v>
      </c>
    </row>
    <row r="15" spans="3:19" ht="15" customHeight="1" x14ac:dyDescent="0.2">
      <c r="C15" s="84" t="s">
        <v>29</v>
      </c>
      <c r="D15" s="32">
        <v>8689172.2300000004</v>
      </c>
      <c r="E15" s="33">
        <v>6409811.2199999997</v>
      </c>
      <c r="F15" s="33">
        <v>6545600.21</v>
      </c>
      <c r="G15" s="33">
        <v>6203599.6200000001</v>
      </c>
      <c r="H15" s="33">
        <v>6419921</v>
      </c>
      <c r="I15" s="33">
        <v>6734274</v>
      </c>
      <c r="J15" s="33">
        <v>7102712</v>
      </c>
      <c r="K15" s="33">
        <v>7257475</v>
      </c>
      <c r="L15" s="32">
        <v>7288063</v>
      </c>
      <c r="M15" s="32">
        <v>7240186.75</v>
      </c>
      <c r="N15" s="32">
        <v>8250376.6100000003</v>
      </c>
      <c r="O15" s="32">
        <v>8363397</v>
      </c>
      <c r="P15" s="79">
        <f t="shared" si="5"/>
        <v>86504588.640000001</v>
      </c>
      <c r="Q15" s="79">
        <f t="shared" si="1"/>
        <v>7208715.7199999997</v>
      </c>
      <c r="R15" s="100">
        <f t="shared" si="2"/>
        <v>0.26092282790851395</v>
      </c>
      <c r="S15" s="102"/>
    </row>
    <row r="16" spans="3:19" ht="15" customHeight="1" x14ac:dyDescent="0.2">
      <c r="C16" s="84" t="s">
        <v>70</v>
      </c>
      <c r="D16" s="32">
        <v>100329</v>
      </c>
      <c r="E16" s="33">
        <v>666405</v>
      </c>
      <c r="F16" s="33">
        <v>166144</v>
      </c>
      <c r="G16" s="33">
        <v>241719.2</v>
      </c>
      <c r="H16" s="33">
        <v>1412426.39</v>
      </c>
      <c r="I16" s="33">
        <v>137893.73000000001</v>
      </c>
      <c r="J16" s="33">
        <v>2184888</v>
      </c>
      <c r="K16" s="33">
        <v>145308</v>
      </c>
      <c r="L16" s="32">
        <v>107568.15</v>
      </c>
      <c r="M16" s="32">
        <v>189188</v>
      </c>
      <c r="N16" s="32">
        <v>2851416</v>
      </c>
      <c r="O16" s="32">
        <v>418045</v>
      </c>
      <c r="P16" s="79">
        <f t="shared" si="5"/>
        <v>8621330.4700000007</v>
      </c>
      <c r="Q16" s="79">
        <f t="shared" si="1"/>
        <v>718444.20583333343</v>
      </c>
      <c r="R16" s="100">
        <f t="shared" si="2"/>
        <v>2.6004423140231672E-2</v>
      </c>
    </row>
    <row r="17" spans="3:19" s="55" customFormat="1" ht="15" customHeight="1" x14ac:dyDescent="0.2">
      <c r="C17" s="86" t="s">
        <v>83</v>
      </c>
      <c r="D17" s="87">
        <f t="shared" ref="D17:O17" si="7">SUM(D18:D20)</f>
        <v>8969917.290000001</v>
      </c>
      <c r="E17" s="87">
        <f t="shared" si="7"/>
        <v>8653529.2699999996</v>
      </c>
      <c r="F17" s="87">
        <f t="shared" si="7"/>
        <v>9327006.4800000004</v>
      </c>
      <c r="G17" s="87">
        <f t="shared" si="7"/>
        <v>6917818.9000000004</v>
      </c>
      <c r="H17" s="87">
        <f t="shared" si="7"/>
        <v>9386228.620000001</v>
      </c>
      <c r="I17" s="87">
        <f t="shared" si="7"/>
        <v>7917904.3499999996</v>
      </c>
      <c r="J17" s="87">
        <f t="shared" si="7"/>
        <v>7460166.8700000001</v>
      </c>
      <c r="K17" s="87">
        <f t="shared" si="7"/>
        <v>7933063.1200000001</v>
      </c>
      <c r="L17" s="87">
        <f t="shared" si="7"/>
        <v>8637304.2199999988</v>
      </c>
      <c r="M17" s="87">
        <f t="shared" si="7"/>
        <v>7826481.2799999993</v>
      </c>
      <c r="N17" s="87">
        <f t="shared" si="7"/>
        <v>8211256.2400000002</v>
      </c>
      <c r="O17" s="87">
        <f t="shared" si="7"/>
        <v>7809165.5299999993</v>
      </c>
      <c r="P17" s="79">
        <f t="shared" si="5"/>
        <v>99049842.170000002</v>
      </c>
      <c r="Q17" s="79">
        <f t="shared" si="1"/>
        <v>8254153.5141666671</v>
      </c>
      <c r="R17" s="100">
        <f t="shared" si="2"/>
        <v>0.29876293650089519</v>
      </c>
      <c r="S17" s="103"/>
    </row>
    <row r="18" spans="3:19" s="55" customFormat="1" ht="15" customHeight="1" x14ac:dyDescent="0.2">
      <c r="C18" s="36" t="s">
        <v>38</v>
      </c>
      <c r="D18" s="37">
        <v>4698135.4400000004</v>
      </c>
      <c r="E18" s="37">
        <v>3958819.63</v>
      </c>
      <c r="F18" s="37">
        <v>4228649.62</v>
      </c>
      <c r="G18" s="37">
        <v>2910697.87</v>
      </c>
      <c r="H18" s="37">
        <v>3661305.29</v>
      </c>
      <c r="I18" s="37">
        <v>3496439.71</v>
      </c>
      <c r="J18" s="37">
        <v>3289384.86</v>
      </c>
      <c r="K18" s="37">
        <v>3652113.14</v>
      </c>
      <c r="L18" s="37">
        <v>3479190.01</v>
      </c>
      <c r="M18" s="37">
        <v>3403121.75</v>
      </c>
      <c r="N18" s="37">
        <v>3840875.71</v>
      </c>
      <c r="O18" s="37">
        <v>2936912.31</v>
      </c>
      <c r="P18" s="89">
        <f t="shared" si="5"/>
        <v>43555645.340000004</v>
      </c>
      <c r="Q18" s="89">
        <f t="shared" si="1"/>
        <v>3629637.1116666668</v>
      </c>
      <c r="R18" s="100">
        <f t="shared" si="2"/>
        <v>0.13137640825955019</v>
      </c>
    </row>
    <row r="19" spans="3:19" s="55" customFormat="1" ht="15" customHeight="1" x14ac:dyDescent="0.2">
      <c r="C19" s="36" t="s">
        <v>39</v>
      </c>
      <c r="D19" s="37">
        <v>2212021.85</v>
      </c>
      <c r="E19" s="37">
        <v>2685299.64</v>
      </c>
      <c r="F19" s="37">
        <v>3140216.86</v>
      </c>
      <c r="G19" s="37">
        <v>2272461.0299999998</v>
      </c>
      <c r="H19" s="37">
        <v>4208247.33</v>
      </c>
      <c r="I19" s="37">
        <v>3098466.64</v>
      </c>
      <c r="J19" s="37">
        <v>2627492.73</v>
      </c>
      <c r="K19" s="37">
        <v>2655429.98</v>
      </c>
      <c r="L19" s="37">
        <v>3461308.21</v>
      </c>
      <c r="M19" s="37">
        <v>3250938.53</v>
      </c>
      <c r="N19" s="37">
        <v>3476350.53</v>
      </c>
      <c r="O19" s="37">
        <v>4254543.22</v>
      </c>
      <c r="P19" s="89">
        <f t="shared" si="5"/>
        <v>37342776.550000004</v>
      </c>
      <c r="Q19" s="89">
        <f t="shared" si="1"/>
        <v>3111898.0458333339</v>
      </c>
      <c r="R19" s="100">
        <f t="shared" si="2"/>
        <v>0.11263660127823875</v>
      </c>
    </row>
    <row r="20" spans="3:19" s="55" customFormat="1" ht="15" customHeight="1" x14ac:dyDescent="0.2">
      <c r="C20" s="36" t="s">
        <v>40</v>
      </c>
      <c r="D20" s="37">
        <v>2059760</v>
      </c>
      <c r="E20" s="37">
        <v>2009410</v>
      </c>
      <c r="F20" s="37">
        <v>1958140</v>
      </c>
      <c r="G20" s="37">
        <v>1734660</v>
      </c>
      <c r="H20" s="37">
        <v>1516676</v>
      </c>
      <c r="I20" s="37">
        <v>1322998</v>
      </c>
      <c r="J20" s="37">
        <v>1543289.28</v>
      </c>
      <c r="K20" s="37">
        <v>1625520</v>
      </c>
      <c r="L20" s="37">
        <v>1696806</v>
      </c>
      <c r="M20" s="37">
        <v>1172421</v>
      </c>
      <c r="N20" s="37">
        <v>894030</v>
      </c>
      <c r="O20" s="37">
        <v>617710</v>
      </c>
      <c r="P20" s="89">
        <f t="shared" si="5"/>
        <v>18151420.280000001</v>
      </c>
      <c r="Q20" s="89">
        <f t="shared" si="1"/>
        <v>1512618.3566666667</v>
      </c>
      <c r="R20" s="100">
        <f t="shared" si="2"/>
        <v>5.4749926963106245E-2</v>
      </c>
    </row>
    <row r="21" spans="3:19" ht="15" customHeight="1" x14ac:dyDescent="0.2">
      <c r="C21" s="91" t="s">
        <v>59</v>
      </c>
      <c r="D21" s="32">
        <v>250785</v>
      </c>
      <c r="E21" s="32">
        <v>356525</v>
      </c>
      <c r="F21" s="32">
        <v>307791</v>
      </c>
      <c r="G21" s="32">
        <v>20400</v>
      </c>
      <c r="H21" s="32">
        <v>916382</v>
      </c>
      <c r="I21" s="32">
        <v>289210</v>
      </c>
      <c r="J21" s="32">
        <v>360793</v>
      </c>
      <c r="K21" s="32">
        <v>99448</v>
      </c>
      <c r="L21" s="32">
        <v>940645</v>
      </c>
      <c r="M21" s="32">
        <v>240865</v>
      </c>
      <c r="N21" s="32">
        <v>236124</v>
      </c>
      <c r="O21" s="32">
        <v>408534</v>
      </c>
      <c r="P21" s="79">
        <f t="shared" si="5"/>
        <v>4427502</v>
      </c>
      <c r="Q21" s="79">
        <f t="shared" si="1"/>
        <v>368958.5</v>
      </c>
      <c r="R21" s="100">
        <f t="shared" si="2"/>
        <v>1.3354625003978301E-2</v>
      </c>
    </row>
    <row r="22" spans="3:19" ht="15" customHeight="1" x14ac:dyDescent="0.2">
      <c r="C22" s="64" t="s">
        <v>41</v>
      </c>
      <c r="D22" s="33">
        <v>0</v>
      </c>
      <c r="E22" s="33">
        <v>10000</v>
      </c>
      <c r="F22" s="33">
        <v>0</v>
      </c>
      <c r="G22" s="32">
        <v>259990</v>
      </c>
      <c r="H22" s="32">
        <v>159990</v>
      </c>
      <c r="I22" s="33">
        <v>2555750.64</v>
      </c>
      <c r="J22" s="33">
        <v>264990</v>
      </c>
      <c r="K22" s="33">
        <v>204590</v>
      </c>
      <c r="L22" s="33">
        <v>214345</v>
      </c>
      <c r="M22" s="33">
        <v>240000</v>
      </c>
      <c r="N22" s="33">
        <v>218600</v>
      </c>
      <c r="O22" s="33">
        <v>2642912.56</v>
      </c>
      <c r="P22" s="79">
        <f t="shared" si="5"/>
        <v>6771168.2000000002</v>
      </c>
      <c r="Q22" s="79">
        <f t="shared" si="1"/>
        <v>564264.01666666672</v>
      </c>
      <c r="R22" s="100">
        <f t="shared" si="2"/>
        <v>2.0423799277755887E-2</v>
      </c>
    </row>
    <row r="23" spans="3:19" ht="15" customHeight="1" x14ac:dyDescent="0.2">
      <c r="C23" s="64" t="s">
        <v>55</v>
      </c>
      <c r="D23" s="32">
        <v>137214.93</v>
      </c>
      <c r="E23" s="104">
        <v>74741.460000000006</v>
      </c>
      <c r="F23" s="104">
        <v>0</v>
      </c>
      <c r="G23" s="32">
        <v>16590</v>
      </c>
      <c r="H23" s="32">
        <v>10000</v>
      </c>
      <c r="I23" s="32">
        <v>10000</v>
      </c>
      <c r="J23" s="32">
        <v>10000</v>
      </c>
      <c r="K23" s="32">
        <v>10000</v>
      </c>
      <c r="L23" s="32">
        <v>10000</v>
      </c>
      <c r="M23" s="32">
        <v>10000</v>
      </c>
      <c r="N23" s="32">
        <v>10000</v>
      </c>
      <c r="O23" s="32">
        <v>0</v>
      </c>
      <c r="P23" s="79">
        <f t="shared" si="5"/>
        <v>298546.39</v>
      </c>
      <c r="Q23" s="79">
        <f t="shared" si="1"/>
        <v>24878.865833333333</v>
      </c>
      <c r="R23" s="100">
        <f t="shared" si="2"/>
        <v>9.0050215330031642E-4</v>
      </c>
    </row>
    <row r="24" spans="3:19" ht="15" customHeight="1" x14ac:dyDescent="0.2">
      <c r="C24" s="91" t="s">
        <v>46</v>
      </c>
      <c r="D24" s="32">
        <v>1600000</v>
      </c>
      <c r="E24" s="32">
        <v>1600000</v>
      </c>
      <c r="F24" s="32">
        <v>1600000</v>
      </c>
      <c r="G24" s="32">
        <v>1600000</v>
      </c>
      <c r="H24" s="32">
        <v>1962830.9</v>
      </c>
      <c r="I24" s="32">
        <v>1600000</v>
      </c>
      <c r="J24" s="32">
        <v>1600000</v>
      </c>
      <c r="K24" s="32">
        <v>1600000</v>
      </c>
      <c r="L24" s="32">
        <v>1600000</v>
      </c>
      <c r="M24" s="32">
        <v>1600000</v>
      </c>
      <c r="N24" s="32">
        <v>1600000</v>
      </c>
      <c r="O24" s="32">
        <v>1600000</v>
      </c>
      <c r="P24" s="79">
        <f t="shared" si="5"/>
        <v>19562830.899999999</v>
      </c>
      <c r="Q24" s="79">
        <f t="shared" si="1"/>
        <v>1630235.9083333332</v>
      </c>
      <c r="R24" s="100">
        <f t="shared" si="2"/>
        <v>5.9007149107044854E-2</v>
      </c>
    </row>
    <row r="25" spans="3:19" ht="15" customHeight="1" x14ac:dyDescent="0.2">
      <c r="C25" s="91" t="s">
        <v>84</v>
      </c>
      <c r="D25" s="32">
        <v>187403.07</v>
      </c>
      <c r="E25" s="32">
        <v>0</v>
      </c>
      <c r="F25" s="32">
        <v>38125.74</v>
      </c>
      <c r="G25" s="32">
        <v>559958.91</v>
      </c>
      <c r="H25" s="32">
        <v>280093.49</v>
      </c>
      <c r="I25" s="32">
        <v>405718.16</v>
      </c>
      <c r="J25" s="32">
        <v>382488.82</v>
      </c>
      <c r="K25" s="32">
        <v>781952.86</v>
      </c>
      <c r="L25" s="32">
        <v>295131.63</v>
      </c>
      <c r="M25" s="32">
        <v>331165.52</v>
      </c>
      <c r="N25" s="32">
        <v>50901.01</v>
      </c>
      <c r="O25" s="32">
        <v>420299.03</v>
      </c>
      <c r="P25" s="79">
        <f t="shared" si="5"/>
        <v>3733238.2399999993</v>
      </c>
      <c r="Q25" s="79">
        <f t="shared" si="1"/>
        <v>311103.18666666659</v>
      </c>
      <c r="R25" s="100">
        <f t="shared" si="2"/>
        <v>1.1260524951928183E-2</v>
      </c>
    </row>
    <row r="26" spans="3:19" ht="15" customHeight="1" x14ac:dyDescent="0.2">
      <c r="C26" s="64" t="s">
        <v>60</v>
      </c>
      <c r="D26" s="32">
        <v>141760.46</v>
      </c>
      <c r="E26" s="32">
        <v>129198.94</v>
      </c>
      <c r="F26" s="105">
        <v>161169.82999999999</v>
      </c>
      <c r="G26" s="32">
        <v>138126.99</v>
      </c>
      <c r="H26" s="32">
        <v>267186.90999999997</v>
      </c>
      <c r="I26" s="32">
        <v>223165.63</v>
      </c>
      <c r="J26" s="32">
        <v>389396.31</v>
      </c>
      <c r="K26" s="32">
        <v>298634.88</v>
      </c>
      <c r="L26" s="32">
        <v>407832.43</v>
      </c>
      <c r="M26" s="32">
        <v>338525</v>
      </c>
      <c r="N26" s="32">
        <v>347428.91</v>
      </c>
      <c r="O26" s="32">
        <v>300654.67</v>
      </c>
      <c r="P26" s="79">
        <f t="shared" si="5"/>
        <v>3143080.96</v>
      </c>
      <c r="Q26" s="79">
        <f t="shared" si="1"/>
        <v>261923.41333333333</v>
      </c>
      <c r="R26" s="100">
        <f t="shared" si="2"/>
        <v>9.4804401167846164E-3</v>
      </c>
    </row>
    <row r="27" spans="3:19" ht="15" customHeight="1" x14ac:dyDescent="0.2">
      <c r="C27" s="64" t="s">
        <v>69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79">
        <f t="shared" si="5"/>
        <v>0</v>
      </c>
      <c r="Q27" s="79">
        <f t="shared" si="1"/>
        <v>0</v>
      </c>
      <c r="R27" s="100">
        <f t="shared" si="2"/>
        <v>0</v>
      </c>
    </row>
    <row r="28" spans="3:19" ht="15" customHeight="1" x14ac:dyDescent="0.2">
      <c r="C28" s="64" t="s">
        <v>85</v>
      </c>
      <c r="D28" s="33">
        <v>85990</v>
      </c>
      <c r="E28" s="33">
        <v>74990</v>
      </c>
      <c r="F28" s="33">
        <v>74990</v>
      </c>
      <c r="G28" s="33">
        <v>60000</v>
      </c>
      <c r="H28" s="33">
        <v>44000</v>
      </c>
      <c r="I28" s="33">
        <v>0</v>
      </c>
      <c r="J28" s="33">
        <v>106500</v>
      </c>
      <c r="K28" s="33">
        <v>36000</v>
      </c>
      <c r="L28" s="33">
        <v>36000</v>
      </c>
      <c r="M28" s="33">
        <v>36000</v>
      </c>
      <c r="N28" s="33">
        <v>36000</v>
      </c>
      <c r="O28" s="33">
        <v>36000</v>
      </c>
      <c r="P28" s="79">
        <f t="shared" si="5"/>
        <v>626470</v>
      </c>
      <c r="Q28" s="79">
        <f t="shared" si="1"/>
        <v>52205.833333333336</v>
      </c>
      <c r="R28" s="100">
        <f t="shared" si="2"/>
        <v>1.8896144883146944E-3</v>
      </c>
    </row>
    <row r="29" spans="3:19" ht="15" customHeight="1" x14ac:dyDescent="0.2">
      <c r="C29" s="64" t="s">
        <v>58</v>
      </c>
      <c r="D29" s="32">
        <v>542391</v>
      </c>
      <c r="E29" s="32">
        <v>537746</v>
      </c>
      <c r="F29" s="32">
        <v>649630</v>
      </c>
      <c r="G29" s="32">
        <v>490379</v>
      </c>
      <c r="H29" s="32">
        <v>201739</v>
      </c>
      <c r="I29" s="32">
        <v>576781</v>
      </c>
      <c r="J29" s="32">
        <v>650055</v>
      </c>
      <c r="K29" s="32">
        <v>553598</v>
      </c>
      <c r="L29" s="32">
        <v>661405</v>
      </c>
      <c r="M29" s="32">
        <v>642096</v>
      </c>
      <c r="N29" s="32">
        <v>599602</v>
      </c>
      <c r="O29" s="32">
        <v>709386</v>
      </c>
      <c r="P29" s="79">
        <f t="shared" si="5"/>
        <v>6814808</v>
      </c>
      <c r="Q29" s="79">
        <f t="shared" si="1"/>
        <v>567900.66666666663</v>
      </c>
      <c r="R29" s="100">
        <f t="shared" si="2"/>
        <v>2.0555429520779742E-2</v>
      </c>
    </row>
    <row r="30" spans="3:19" ht="27.75" customHeight="1" x14ac:dyDescent="0.2">
      <c r="C30" s="43" t="s">
        <v>77</v>
      </c>
      <c r="D30" s="44">
        <f t="shared" ref="D30:P30" si="8">D3-D14</f>
        <v>8578455.5199999958</v>
      </c>
      <c r="E30" s="44">
        <f t="shared" si="8"/>
        <v>9176970.1099999994</v>
      </c>
      <c r="F30" s="44">
        <f t="shared" si="8"/>
        <v>9736770.7399999984</v>
      </c>
      <c r="G30" s="44">
        <f t="shared" si="8"/>
        <v>10185387.879999999</v>
      </c>
      <c r="H30" s="44">
        <f t="shared" si="8"/>
        <v>8202265.4299999997</v>
      </c>
      <c r="I30" s="44">
        <f t="shared" si="8"/>
        <v>2561746.0199999996</v>
      </c>
      <c r="J30" s="44">
        <f t="shared" si="8"/>
        <v>5775984.5</v>
      </c>
      <c r="K30" s="44">
        <f t="shared" si="8"/>
        <v>7227698.1400000006</v>
      </c>
      <c r="L30" s="44">
        <f t="shared" si="8"/>
        <v>8113613.5700000003</v>
      </c>
      <c r="M30" s="44">
        <f t="shared" si="8"/>
        <v>10831176.450000003</v>
      </c>
      <c r="N30" s="44">
        <f t="shared" si="8"/>
        <v>5318527.2300000004</v>
      </c>
      <c r="O30" s="44">
        <f t="shared" si="8"/>
        <v>6271231.2100000009</v>
      </c>
      <c r="P30" s="44">
        <f t="shared" si="8"/>
        <v>91979826.799999952</v>
      </c>
      <c r="Q30" s="44">
        <f t="shared" si="1"/>
        <v>7664985.5666666673</v>
      </c>
      <c r="R30" s="46">
        <f t="shared" si="2"/>
        <v>0.27743772783047255</v>
      </c>
    </row>
    <row r="31" spans="3:19" ht="15" customHeight="1" x14ac:dyDescent="0.2">
      <c r="C31" s="43" t="s">
        <v>78</v>
      </c>
      <c r="D31" s="44">
        <f t="shared" ref="D31:P31" si="9">D3-D8</f>
        <v>8315455.5199999958</v>
      </c>
      <c r="E31" s="44">
        <f t="shared" si="9"/>
        <v>8614400.1099999994</v>
      </c>
      <c r="F31" s="44">
        <f t="shared" si="9"/>
        <v>8087170.7399999984</v>
      </c>
      <c r="G31" s="44">
        <f t="shared" si="9"/>
        <v>8470955.879999999</v>
      </c>
      <c r="H31" s="44">
        <f t="shared" si="9"/>
        <v>7776365.4299999997</v>
      </c>
      <c r="I31" s="44">
        <f t="shared" si="9"/>
        <v>2561746.0199999996</v>
      </c>
      <c r="J31" s="44">
        <f t="shared" si="9"/>
        <v>5701084.5</v>
      </c>
      <c r="K31" s="44">
        <f t="shared" si="9"/>
        <v>7227698.1400000006</v>
      </c>
      <c r="L31" s="44">
        <f t="shared" si="9"/>
        <v>8053613.5700000003</v>
      </c>
      <c r="M31" s="44">
        <f t="shared" si="9"/>
        <v>10014760.450000003</v>
      </c>
      <c r="N31" s="44">
        <f t="shared" si="9"/>
        <v>5318527.2300000004</v>
      </c>
      <c r="O31" s="44">
        <f t="shared" si="9"/>
        <v>6271231.2100000009</v>
      </c>
      <c r="P31" s="44">
        <f t="shared" si="9"/>
        <v>86413008.799999952</v>
      </c>
      <c r="Q31" s="44">
        <f t="shared" si="1"/>
        <v>7201084.0666666655</v>
      </c>
      <c r="R31" s="46">
        <f t="shared" si="2"/>
        <v>0.26064659665641626</v>
      </c>
    </row>
    <row r="32" spans="3:19" ht="15" customHeight="1" x14ac:dyDescent="0.2">
      <c r="C32" s="47" t="s">
        <v>79</v>
      </c>
      <c r="D32" s="48">
        <f t="shared" ref="D32:P32" si="10">IF(D3=0, 0, D30/D3)</f>
        <v>0.29294583622468789</v>
      </c>
      <c r="E32" s="48">
        <f t="shared" si="10"/>
        <v>0.33141919890911914</v>
      </c>
      <c r="F32" s="48">
        <f t="shared" si="10"/>
        <v>0.34036051098694353</v>
      </c>
      <c r="G32" s="48">
        <f t="shared" si="10"/>
        <v>0.38156136720088152</v>
      </c>
      <c r="H32" s="48">
        <f t="shared" si="10"/>
        <v>0.28029414496296345</v>
      </c>
      <c r="I32" s="48">
        <f t="shared" si="10"/>
        <v>0.11132003503497569</v>
      </c>
      <c r="J32" s="48">
        <f t="shared" si="10"/>
        <v>0.21971964785647521</v>
      </c>
      <c r="K32" s="48">
        <f t="shared" si="10"/>
        <v>0.27641740358106287</v>
      </c>
      <c r="L32" s="48">
        <f t="shared" si="10"/>
        <v>0.28657953995894592</v>
      </c>
      <c r="M32" s="48">
        <f t="shared" si="10"/>
        <v>0.36683913740999202</v>
      </c>
      <c r="N32" s="48">
        <f t="shared" si="10"/>
        <v>0.19179526626391011</v>
      </c>
      <c r="O32" s="48">
        <f t="shared" si="10"/>
        <v>0.21640139270263162</v>
      </c>
      <c r="P32" s="48">
        <f t="shared" si="10"/>
        <v>0.27743772783047255</v>
      </c>
      <c r="Q32" s="48">
        <f t="shared" si="1"/>
        <v>0.27463779009104905</v>
      </c>
      <c r="R32" s="46"/>
    </row>
    <row r="33" spans="3:18" ht="15" customHeight="1" x14ac:dyDescent="0.2">
      <c r="C33" s="47" t="s">
        <v>86</v>
      </c>
      <c r="D33" s="48">
        <f t="shared" ref="D33:P33" si="11">IF(D3=0, 0, D17/D3)</f>
        <v>0.30631387144912747</v>
      </c>
      <c r="E33" s="48">
        <f t="shared" si="11"/>
        <v>0.31251553661211767</v>
      </c>
      <c r="F33" s="48">
        <f t="shared" si="11"/>
        <v>0.32603670932395129</v>
      </c>
      <c r="G33" s="48">
        <f t="shared" si="11"/>
        <v>0.25915286375250923</v>
      </c>
      <c r="H33" s="48">
        <f t="shared" si="11"/>
        <v>0.3207534489004944</v>
      </c>
      <c r="I33" s="48">
        <f t="shared" si="11"/>
        <v>0.34407056076760745</v>
      </c>
      <c r="J33" s="48">
        <f t="shared" si="11"/>
        <v>0.28378629437578007</v>
      </c>
      <c r="K33" s="48">
        <f t="shared" si="11"/>
        <v>0.30339351029885225</v>
      </c>
      <c r="L33" s="48">
        <f t="shared" si="11"/>
        <v>0.30507672672572966</v>
      </c>
      <c r="M33" s="48">
        <f t="shared" si="11"/>
        <v>0.26507366535522087</v>
      </c>
      <c r="N33" s="48">
        <f t="shared" si="11"/>
        <v>0.29611206426257092</v>
      </c>
      <c r="O33" s="48">
        <f t="shared" si="11"/>
        <v>0.26947089653506556</v>
      </c>
      <c r="P33" s="48">
        <f t="shared" si="11"/>
        <v>0.29876293650089519</v>
      </c>
      <c r="Q33" s="48">
        <f t="shared" si="1"/>
        <v>0.2993130123632522</v>
      </c>
      <c r="R33" s="46"/>
    </row>
    <row r="34" spans="3:18" ht="15" customHeight="1" x14ac:dyDescent="0.2">
      <c r="C34" s="50" t="s">
        <v>18</v>
      </c>
      <c r="D34" s="51">
        <f t="shared" ref="D34:P34" si="12">IF(D4=0, 0, D18/D4)</f>
        <v>0.54457226055768027</v>
      </c>
      <c r="E34" s="51">
        <f t="shared" si="12"/>
        <v>0.49994293520916661</v>
      </c>
      <c r="F34" s="51">
        <f t="shared" si="12"/>
        <v>0.4961889926798726</v>
      </c>
      <c r="G34" s="51">
        <f t="shared" si="12"/>
        <v>0.38610952746882055</v>
      </c>
      <c r="H34" s="51">
        <f t="shared" si="12"/>
        <v>0.4521257511132406</v>
      </c>
      <c r="I34" s="51">
        <f t="shared" si="12"/>
        <v>0.54138646253472178</v>
      </c>
      <c r="J34" s="51">
        <f t="shared" si="12"/>
        <v>0.44195933160027795</v>
      </c>
      <c r="K34" s="51">
        <f t="shared" si="12"/>
        <v>0.47609584560580537</v>
      </c>
      <c r="L34" s="51">
        <f t="shared" si="12"/>
        <v>0.39988180167083764</v>
      </c>
      <c r="M34" s="51">
        <f t="shared" si="12"/>
        <v>0.3519349680953357</v>
      </c>
      <c r="N34" s="51">
        <f t="shared" si="12"/>
        <v>0.4370727660375392</v>
      </c>
      <c r="O34" s="51">
        <f t="shared" si="12"/>
        <v>0.29969064817869484</v>
      </c>
      <c r="P34" s="51">
        <f t="shared" si="12"/>
        <v>0.43891705474846071</v>
      </c>
      <c r="Q34" s="51">
        <f t="shared" si="1"/>
        <v>0.44391344089599932</v>
      </c>
      <c r="R34" s="52"/>
    </row>
    <row r="35" spans="3:18" ht="15" customHeight="1" x14ac:dyDescent="0.2">
      <c r="C35" s="50" t="s">
        <v>19</v>
      </c>
      <c r="D35" s="51">
        <f t="shared" ref="D35:P35" si="13">IF(D5=0, 0, D19/D5)</f>
        <v>0.20515657154665057</v>
      </c>
      <c r="E35" s="51">
        <f t="shared" si="13"/>
        <v>0.25576172486652349</v>
      </c>
      <c r="F35" s="51">
        <f t="shared" si="13"/>
        <v>0.30740669358279982</v>
      </c>
      <c r="G35" s="51">
        <f t="shared" si="13"/>
        <v>0.24346210333544513</v>
      </c>
      <c r="H35" s="51">
        <f t="shared" si="13"/>
        <v>0.37187209506912672</v>
      </c>
      <c r="I35" s="51">
        <f t="shared" si="13"/>
        <v>0.35267329801514008</v>
      </c>
      <c r="J35" s="51">
        <f t="shared" si="13"/>
        <v>0.2798742910919042</v>
      </c>
      <c r="K35" s="51">
        <f t="shared" si="13"/>
        <v>0.27802475244622166</v>
      </c>
      <c r="L35" s="51">
        <f t="shared" si="13"/>
        <v>0.33774752220192167</v>
      </c>
      <c r="M35" s="51">
        <f t="shared" si="13"/>
        <v>0.30171940900857824</v>
      </c>
      <c r="N35" s="51">
        <f t="shared" si="13"/>
        <v>0.33280426333267943</v>
      </c>
      <c r="O35" s="51">
        <f t="shared" si="13"/>
        <v>0.3908463618723762</v>
      </c>
      <c r="P35" s="51">
        <f t="shared" si="13"/>
        <v>0.30552312643842</v>
      </c>
      <c r="Q35" s="51">
        <f t="shared" si="1"/>
        <v>0.30477909053078062</v>
      </c>
      <c r="R35" s="52"/>
    </row>
    <row r="36" spans="3:18" ht="15" customHeight="1" x14ac:dyDescent="0.2">
      <c r="C36" s="50" t="s">
        <v>20</v>
      </c>
      <c r="D36" s="51">
        <f t="shared" ref="D36:P36" si="14">IF(D6=0, 0, D20/D6)</f>
        <v>0.20860230299470331</v>
      </c>
      <c r="E36" s="51">
        <f t="shared" si="14"/>
        <v>0.21671456997567987</v>
      </c>
      <c r="F36" s="51">
        <f t="shared" si="14"/>
        <v>0.19839743216290934</v>
      </c>
      <c r="G36" s="51">
        <f t="shared" si="14"/>
        <v>0.17661864277350711</v>
      </c>
      <c r="H36" s="51">
        <f t="shared" si="14"/>
        <v>0.15399758343740799</v>
      </c>
      <c r="I36" s="51">
        <f t="shared" si="14"/>
        <v>0.17030332832162792</v>
      </c>
      <c r="J36" s="51">
        <f t="shared" si="14"/>
        <v>0.16318799635195685</v>
      </c>
      <c r="K36" s="51">
        <f t="shared" si="14"/>
        <v>0.18211578858919419</v>
      </c>
      <c r="L36" s="51">
        <f t="shared" si="14"/>
        <v>0.18122170423415196</v>
      </c>
      <c r="M36" s="51">
        <f t="shared" si="14"/>
        <v>0.12910376678049118</v>
      </c>
      <c r="N36" s="51">
        <f t="shared" si="14"/>
        <v>0.10521868333946303</v>
      </c>
      <c r="O36" s="51">
        <f t="shared" si="14"/>
        <v>7.4473587442053929E-2</v>
      </c>
      <c r="P36" s="51">
        <f t="shared" si="14"/>
        <v>0.16490318355890371</v>
      </c>
      <c r="Q36" s="51">
        <f t="shared" si="1"/>
        <v>0.16332961553359557</v>
      </c>
      <c r="R36" s="52"/>
    </row>
    <row r="37" spans="3:18" ht="15" customHeight="1" x14ac:dyDescent="0.2">
      <c r="C37" s="47" t="s">
        <v>81</v>
      </c>
      <c r="D37" s="44">
        <f>PnL_2022!O37+D31</f>
        <v>-32965389.820000008</v>
      </c>
      <c r="E37" s="44">
        <f t="shared" ref="E37:O37" si="15">D37+E31</f>
        <v>-24350989.710000008</v>
      </c>
      <c r="F37" s="44">
        <f t="shared" si="15"/>
        <v>-16263818.97000001</v>
      </c>
      <c r="G37" s="44">
        <f t="shared" si="15"/>
        <v>-7792863.090000011</v>
      </c>
      <c r="H37" s="44">
        <f t="shared" si="15"/>
        <v>-16497.660000011325</v>
      </c>
      <c r="I37" s="44">
        <f t="shared" si="15"/>
        <v>2545248.3599999882</v>
      </c>
      <c r="J37" s="44">
        <f t="shared" si="15"/>
        <v>8246332.8599999882</v>
      </c>
      <c r="K37" s="44">
        <f t="shared" si="15"/>
        <v>15474030.999999989</v>
      </c>
      <c r="L37" s="44">
        <f t="shared" si="15"/>
        <v>23527644.569999989</v>
      </c>
      <c r="M37" s="44">
        <f t="shared" si="15"/>
        <v>33542405.019999992</v>
      </c>
      <c r="N37" s="44">
        <f t="shared" si="15"/>
        <v>38860932.249999993</v>
      </c>
      <c r="O37" s="44">
        <f t="shared" si="15"/>
        <v>45132163.459999993</v>
      </c>
      <c r="P37" s="53"/>
      <c r="Q37" s="53"/>
      <c r="R37" s="54"/>
    </row>
  </sheetData>
  <sheetProtection algorithmName="SHA-512" hashValue="40IgYQuX88aowerOOnBnoWINJm3uNnBDyEDCyaH8aK5D8zC4W7x1rrdYcy9oyBmdJKaxXzUAKdfRp7Ti05lRRQ==" saltValue="7+qphYt1HSn+yxM8Hz5jwA==" spinCount="100000" sheet="1" formatCells="0" formatColumns="0" formatRows="0"/>
  <pageMargins left="0.7" right="0.7" top="0.75" bottom="0.75" header="0.511811023622047" footer="0.3"/>
  <pageSetup orientation="portrait" horizontalDpi="300" verticalDpi="300"/>
  <headerFooter>
    <oddFooter>&amp;C&amp;10 _x005F_x000d_# Schlumberger-Private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C1:S71"/>
  <sheetViews>
    <sheetView topLeftCell="B2" zoomScale="140" zoomScaleNormal="140" workbookViewId="0">
      <pane xSplit="2" topLeftCell="J1" activePane="topRight" state="frozen"/>
      <selection activeCell="B49" sqref="B49"/>
      <selection pane="topRight" activeCell="B70" sqref="A70:XFD70"/>
    </sheetView>
  </sheetViews>
  <sheetFormatPr baseColWidth="10" defaultColWidth="8.83203125" defaultRowHeight="15" customHeight="1" outlineLevelRow="1" x14ac:dyDescent="0.2"/>
  <cols>
    <col min="2" max="2" width="5.83203125" customWidth="1"/>
    <col min="3" max="3" width="30.83203125" customWidth="1"/>
    <col min="4" max="15" width="14.83203125" customWidth="1"/>
    <col min="16" max="17" width="14.83203125" style="55" customWidth="1"/>
    <col min="18" max="18" width="14.83203125" customWidth="1"/>
  </cols>
  <sheetData>
    <row r="1" spans="3:19" ht="15" customHeight="1" x14ac:dyDescent="0.2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7" t="s">
        <v>0</v>
      </c>
      <c r="Q1" s="57"/>
    </row>
    <row r="2" spans="3:19" ht="30" customHeight="1" x14ac:dyDescent="0.2">
      <c r="C2" s="5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</row>
    <row r="3" spans="3:19" ht="15" customHeight="1" x14ac:dyDescent="0.2">
      <c r="C3" s="7" t="s">
        <v>17</v>
      </c>
      <c r="D3" s="8">
        <f t="shared" ref="D3:O3" si="0">SUM(D4:D7)</f>
        <v>28343790.5</v>
      </c>
      <c r="E3" s="8">
        <f t="shared" si="0"/>
        <v>25121868</v>
      </c>
      <c r="F3" s="8">
        <f t="shared" si="0"/>
        <v>27334549</v>
      </c>
      <c r="G3" s="8">
        <f t="shared" si="0"/>
        <v>26317264</v>
      </c>
      <c r="H3" s="8">
        <f t="shared" si="0"/>
        <v>26336848</v>
      </c>
      <c r="I3" s="8">
        <f t="shared" si="0"/>
        <v>21063759</v>
      </c>
      <c r="J3" s="8">
        <f t="shared" si="0"/>
        <v>24739978.600000001</v>
      </c>
      <c r="K3" s="8">
        <f t="shared" si="0"/>
        <v>25307037.800000001</v>
      </c>
      <c r="L3" s="8">
        <f t="shared" si="0"/>
        <v>26700425.399999999</v>
      </c>
      <c r="M3" s="8">
        <f t="shared" si="0"/>
        <v>31042468.699999999</v>
      </c>
      <c r="N3" s="8">
        <f t="shared" si="0"/>
        <v>31162472.600000001</v>
      </c>
      <c r="O3" s="8">
        <f t="shared" si="0"/>
        <v>33244868.800000001</v>
      </c>
      <c r="P3" s="128">
        <f t="shared" ref="P3:P34" si="1">SUM(D3:O3)</f>
        <v>326715330.40000004</v>
      </c>
      <c r="Q3" s="115">
        <f>IF(SUM(D3:O3)=0, 0, AVERAGEIF(D3:O3, "&lt;&gt;0"))</f>
        <v>27226277.533333335</v>
      </c>
      <c r="R3" s="10">
        <v>1</v>
      </c>
    </row>
    <row r="4" spans="3:19" ht="15" customHeight="1" x14ac:dyDescent="0.2">
      <c r="C4" s="11" t="s">
        <v>18</v>
      </c>
      <c r="D4" s="12">
        <v>9180109</v>
      </c>
      <c r="E4" s="12">
        <v>8010361</v>
      </c>
      <c r="F4" s="12">
        <v>9106226</v>
      </c>
      <c r="G4" s="12">
        <v>8693002</v>
      </c>
      <c r="H4" s="12">
        <v>7551057</v>
      </c>
      <c r="I4" s="12">
        <v>6065874</v>
      </c>
      <c r="J4" s="12">
        <v>7196265</v>
      </c>
      <c r="K4" s="12">
        <v>7789080</v>
      </c>
      <c r="L4" s="12">
        <v>7981199</v>
      </c>
      <c r="M4" s="12">
        <v>9310701</v>
      </c>
      <c r="N4" s="12">
        <v>8975932</v>
      </c>
      <c r="O4" s="12">
        <v>9773260</v>
      </c>
      <c r="P4" s="13">
        <f t="shared" si="1"/>
        <v>99633066</v>
      </c>
      <c r="Q4" s="14">
        <f>IF(SUM(D2:O4)=0, 0, AVERAGEIF(D4:O4, "&lt;&gt;"))</f>
        <v>8302755.5</v>
      </c>
      <c r="R4" s="114">
        <f t="shared" ref="R4:R35" si="2">IF(P$3=0, 0, P4/P$3)</f>
        <v>0.30495375248543888</v>
      </c>
    </row>
    <row r="5" spans="3:19" ht="15" customHeight="1" x14ac:dyDescent="0.2">
      <c r="C5" s="11" t="s">
        <v>19</v>
      </c>
      <c r="D5" s="12">
        <v>10751431.5</v>
      </c>
      <c r="E5" s="12">
        <v>8899787</v>
      </c>
      <c r="F5" s="12">
        <v>9720773</v>
      </c>
      <c r="G5" s="12">
        <v>9327412</v>
      </c>
      <c r="H5" s="12">
        <v>10415741</v>
      </c>
      <c r="I5" s="12">
        <v>8040535</v>
      </c>
      <c r="J5" s="12">
        <v>9392183.5999999996</v>
      </c>
      <c r="K5" s="12">
        <v>9605557.8000000007</v>
      </c>
      <c r="L5" s="12">
        <v>10448956.4</v>
      </c>
      <c r="M5" s="12">
        <v>11688317.699999999</v>
      </c>
      <c r="N5" s="12">
        <v>12472940.6</v>
      </c>
      <c r="O5" s="12">
        <v>12619880.800000001</v>
      </c>
      <c r="P5" s="13">
        <f t="shared" si="1"/>
        <v>123383516.40000001</v>
      </c>
      <c r="Q5" s="14">
        <f>IF(SUM(D3:O5)=0, 0, AVERAGEIF(D5:O5, "&lt;&gt;"))</f>
        <v>10281959.700000001</v>
      </c>
      <c r="R5" s="114">
        <f t="shared" si="2"/>
        <v>0.37764838352990854</v>
      </c>
    </row>
    <row r="6" spans="3:19" ht="15" customHeight="1" x14ac:dyDescent="0.2">
      <c r="C6" s="11" t="s">
        <v>20</v>
      </c>
      <c r="D6" s="12">
        <v>8412250</v>
      </c>
      <c r="E6" s="12">
        <v>8211720</v>
      </c>
      <c r="F6" s="12">
        <v>8507550</v>
      </c>
      <c r="G6" s="12">
        <v>8296850</v>
      </c>
      <c r="H6" s="12">
        <v>8370050</v>
      </c>
      <c r="I6" s="12">
        <v>6957350</v>
      </c>
      <c r="J6" s="12">
        <v>8151530</v>
      </c>
      <c r="K6" s="12">
        <v>7912400</v>
      </c>
      <c r="L6" s="12">
        <v>8270270</v>
      </c>
      <c r="M6" s="12">
        <v>10043450</v>
      </c>
      <c r="N6" s="12">
        <v>9713600</v>
      </c>
      <c r="O6" s="12">
        <v>10851728</v>
      </c>
      <c r="P6" s="13">
        <f t="shared" si="1"/>
        <v>103698748</v>
      </c>
      <c r="Q6" s="14">
        <f>IF(SUM(D4:O6)=0, 0, AVERAGEIF(D6:O6, "&lt;&gt;"))</f>
        <v>8641562.333333334</v>
      </c>
      <c r="R6" s="114">
        <f t="shared" si="2"/>
        <v>0.31739786398465247</v>
      </c>
    </row>
    <row r="7" spans="3:19" ht="15" customHeight="1" x14ac:dyDescent="0.2">
      <c r="C7" s="11" t="s">
        <v>21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3">
        <f t="shared" si="1"/>
        <v>0</v>
      </c>
      <c r="Q7" s="14">
        <f>IF(SUM(D5:O7)=0, 0, AVERAGEIF(D7:O7, "&lt;&gt;"))</f>
        <v>0</v>
      </c>
      <c r="R7" s="114">
        <f t="shared" si="2"/>
        <v>0</v>
      </c>
    </row>
    <row r="8" spans="3:19" ht="15" customHeight="1" x14ac:dyDescent="0.2">
      <c r="C8" s="16" t="s">
        <v>22</v>
      </c>
      <c r="D8" s="17">
        <f>SUM(D9, D14)</f>
        <v>19736022.5</v>
      </c>
      <c r="E8" s="17">
        <f t="shared" ref="E8:O8" si="3">SUM(E9,E14)</f>
        <v>24003503.43</v>
      </c>
      <c r="F8" s="17">
        <f t="shared" si="3"/>
        <v>19845798.049999997</v>
      </c>
      <c r="G8" s="17">
        <f t="shared" si="3"/>
        <v>18916104.580000002</v>
      </c>
      <c r="H8" s="17">
        <f t="shared" si="3"/>
        <v>23856573.699999999</v>
      </c>
      <c r="I8" s="17">
        <f t="shared" si="3"/>
        <v>17610524.960000001</v>
      </c>
      <c r="J8" s="17">
        <f t="shared" si="3"/>
        <v>16758753.186000003</v>
      </c>
      <c r="K8" s="17">
        <f t="shared" si="3"/>
        <v>20304711.568000004</v>
      </c>
      <c r="L8" s="17">
        <f t="shared" si="3"/>
        <v>20606952.184000004</v>
      </c>
      <c r="M8" s="17">
        <f t="shared" si="3"/>
        <v>20501349.432</v>
      </c>
      <c r="N8" s="17">
        <f t="shared" si="3"/>
        <v>23043095.216000006</v>
      </c>
      <c r="O8" s="17">
        <f t="shared" si="3"/>
        <v>27524009.568</v>
      </c>
      <c r="P8" s="127">
        <f t="shared" si="1"/>
        <v>252707398.37399998</v>
      </c>
      <c r="Q8" s="119">
        <f>IF(SUM(D8:O8)=0, 0, AVERAGEIF(D8:O8, "&lt;&gt;0"))</f>
        <v>21058949.864499997</v>
      </c>
      <c r="R8" s="113">
        <f t="shared" si="2"/>
        <v>0.77347885103710445</v>
      </c>
    </row>
    <row r="9" spans="3:19" ht="15" customHeight="1" x14ac:dyDescent="0.2">
      <c r="C9" s="20" t="s">
        <v>23</v>
      </c>
      <c r="D9" s="21">
        <f t="shared" ref="D9:O9" si="4">SUM(D10:D13)</f>
        <v>0</v>
      </c>
      <c r="E9" s="21">
        <f t="shared" si="4"/>
        <v>748280</v>
      </c>
      <c r="F9" s="21">
        <f t="shared" si="4"/>
        <v>400000</v>
      </c>
      <c r="G9" s="21">
        <f t="shared" si="4"/>
        <v>0</v>
      </c>
      <c r="H9" s="21">
        <f t="shared" si="4"/>
        <v>1200000</v>
      </c>
      <c r="I9" s="21">
        <f t="shared" si="4"/>
        <v>478000</v>
      </c>
      <c r="J9" s="21">
        <f t="shared" si="4"/>
        <v>0</v>
      </c>
      <c r="K9" s="21">
        <f t="shared" si="4"/>
        <v>0</v>
      </c>
      <c r="L9" s="21">
        <f t="shared" si="4"/>
        <v>209700</v>
      </c>
      <c r="M9" s="21">
        <f t="shared" si="4"/>
        <v>2700000</v>
      </c>
      <c r="N9" s="21">
        <f t="shared" si="4"/>
        <v>55000</v>
      </c>
      <c r="O9" s="21">
        <f t="shared" si="4"/>
        <v>0</v>
      </c>
      <c r="P9" s="116">
        <f t="shared" si="1"/>
        <v>5790980</v>
      </c>
      <c r="Q9" s="117">
        <f>IF(SUM(D9:O9)=0, 0, AVERAGEIF(D9:O9, "&lt;&gt;0"))</f>
        <v>827282.85714285716</v>
      </c>
      <c r="R9" s="23">
        <f t="shared" si="2"/>
        <v>1.772484931426407E-2</v>
      </c>
    </row>
    <row r="10" spans="3:19" ht="15" customHeight="1" outlineLevel="1" x14ac:dyDescent="0.2">
      <c r="C10" s="24" t="s">
        <v>24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6">
        <f t="shared" si="1"/>
        <v>0</v>
      </c>
      <c r="Q10" s="27">
        <f>IF(SUM(D10:O10)=0, 0, AVERAGEIF(D10:O10, "&lt;&gt;"))</f>
        <v>0</v>
      </c>
      <c r="R10" s="28">
        <f t="shared" si="2"/>
        <v>0</v>
      </c>
    </row>
    <row r="11" spans="3:19" ht="15" customHeight="1" outlineLevel="1" x14ac:dyDescent="0.2">
      <c r="C11" s="24" t="s">
        <v>25</v>
      </c>
      <c r="D11" s="26">
        <v>0</v>
      </c>
      <c r="E11" s="26">
        <v>523110</v>
      </c>
      <c r="F11" s="26">
        <v>400000</v>
      </c>
      <c r="G11" s="26">
        <v>0</v>
      </c>
      <c r="H11" s="26">
        <v>1200000</v>
      </c>
      <c r="I11" s="26">
        <v>478000</v>
      </c>
      <c r="J11" s="26">
        <v>0</v>
      </c>
      <c r="K11" s="26">
        <v>0</v>
      </c>
      <c r="L11" s="26">
        <v>209700</v>
      </c>
      <c r="M11" s="26">
        <v>2500000</v>
      </c>
      <c r="N11" s="26">
        <v>0</v>
      </c>
      <c r="O11" s="26">
        <v>0</v>
      </c>
      <c r="P11" s="26">
        <f t="shared" si="1"/>
        <v>5310810</v>
      </c>
      <c r="Q11" s="27">
        <f>IF(SUM(D11:O11)=0, 0, AVERAGEIF(D11:O11, "&lt;&gt;"))</f>
        <v>442567.5</v>
      </c>
      <c r="R11" s="28">
        <f t="shared" si="2"/>
        <v>1.6255160091502088E-2</v>
      </c>
    </row>
    <row r="12" spans="3:19" ht="15" customHeight="1" outlineLevel="1" x14ac:dyDescent="0.2">
      <c r="C12" s="24" t="s">
        <v>26</v>
      </c>
      <c r="D12" s="26">
        <v>0</v>
      </c>
      <c r="E12" s="26">
        <v>225170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200000</v>
      </c>
      <c r="N12" s="26">
        <v>55000</v>
      </c>
      <c r="O12" s="26">
        <v>0</v>
      </c>
      <c r="P12" s="26">
        <f t="shared" si="1"/>
        <v>480170</v>
      </c>
      <c r="Q12" s="27">
        <f>IF(SUM(D12:O12)=0, 0, AVERAGEIF(D12:O12, "&lt;&gt;"))</f>
        <v>40014.166666666664</v>
      </c>
      <c r="R12" s="28">
        <f t="shared" si="2"/>
        <v>1.4696892227619813E-3</v>
      </c>
    </row>
    <row r="13" spans="3:19" ht="15" customHeight="1" outlineLevel="1" x14ac:dyDescent="0.2">
      <c r="C13" s="24" t="s">
        <v>27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6">
        <f t="shared" si="1"/>
        <v>0</v>
      </c>
      <c r="Q13" s="27">
        <f>IF(SUM(D13:O13)=0, 0, AVERAGEIF(D13:O13, "&lt;&gt;"))</f>
        <v>0</v>
      </c>
      <c r="R13" s="28">
        <f t="shared" si="2"/>
        <v>0</v>
      </c>
    </row>
    <row r="14" spans="3:19" ht="14.25" customHeight="1" x14ac:dyDescent="0.2">
      <c r="C14" s="20" t="s">
        <v>28</v>
      </c>
      <c r="D14" s="21">
        <f t="shared" ref="D14:O14" si="5">SUM(D15, D23, D27, D32, D36, D44, D57)</f>
        <v>19736022.5</v>
      </c>
      <c r="E14" s="21">
        <f t="shared" si="5"/>
        <v>23255223.43</v>
      </c>
      <c r="F14" s="21">
        <f t="shared" si="5"/>
        <v>19445798.049999997</v>
      </c>
      <c r="G14" s="21">
        <f t="shared" si="5"/>
        <v>18916104.580000002</v>
      </c>
      <c r="H14" s="21">
        <f t="shared" si="5"/>
        <v>22656573.699999999</v>
      </c>
      <c r="I14" s="21">
        <f t="shared" si="5"/>
        <v>17132524.960000001</v>
      </c>
      <c r="J14" s="21">
        <f t="shared" si="5"/>
        <v>16758753.186000003</v>
      </c>
      <c r="K14" s="21">
        <f t="shared" si="5"/>
        <v>20304711.568000004</v>
      </c>
      <c r="L14" s="21">
        <f t="shared" si="5"/>
        <v>20397252.184000004</v>
      </c>
      <c r="M14" s="21">
        <f t="shared" si="5"/>
        <v>17801349.432</v>
      </c>
      <c r="N14" s="21">
        <f t="shared" si="5"/>
        <v>22988095.216000006</v>
      </c>
      <c r="O14" s="21">
        <f t="shared" si="5"/>
        <v>27524009.568</v>
      </c>
      <c r="P14" s="123">
        <f t="shared" si="1"/>
        <v>246916418.37399998</v>
      </c>
      <c r="Q14" s="124">
        <f>IF(SUM(D14:O14)=0, 0, AVERAGEIF(D14:O14, "&lt;&gt;0"))</f>
        <v>20576368.197833333</v>
      </c>
      <c r="R14" s="125">
        <f t="shared" si="2"/>
        <v>0.75575400172284035</v>
      </c>
    </row>
    <row r="15" spans="3:19" ht="15" customHeight="1" collapsed="1" x14ac:dyDescent="0.2">
      <c r="C15" s="29" t="s">
        <v>29</v>
      </c>
      <c r="D15" s="25">
        <f t="shared" ref="D15:O15" si="6">SUM(D16:D22)</f>
        <v>7369385.5300000003</v>
      </c>
      <c r="E15" s="25">
        <f t="shared" si="6"/>
        <v>6531685.6800000006</v>
      </c>
      <c r="F15" s="25">
        <f t="shared" si="6"/>
        <v>7106982.7400000002</v>
      </c>
      <c r="G15" s="25">
        <f t="shared" si="6"/>
        <v>6842488.6400000006</v>
      </c>
      <c r="H15" s="25">
        <f t="shared" si="6"/>
        <v>6847580.4800000004</v>
      </c>
      <c r="I15" s="25">
        <f t="shared" si="6"/>
        <v>5476577.3399999999</v>
      </c>
      <c r="J15" s="25">
        <f t="shared" si="6"/>
        <v>6432394.4360000007</v>
      </c>
      <c r="K15" s="25">
        <f t="shared" si="6"/>
        <v>6579829.8280000007</v>
      </c>
      <c r="L15" s="25">
        <f t="shared" si="6"/>
        <v>6942110.6040000003</v>
      </c>
      <c r="M15" s="25">
        <f t="shared" si="6"/>
        <v>8071041.8619999997</v>
      </c>
      <c r="N15" s="25">
        <f t="shared" si="6"/>
        <v>8102242.8760000011</v>
      </c>
      <c r="O15" s="25">
        <f t="shared" si="6"/>
        <v>8643665.8880000003</v>
      </c>
      <c r="P15" s="122">
        <f t="shared" si="1"/>
        <v>84945985.904000014</v>
      </c>
      <c r="Q15" s="119">
        <f>IF(SUM(D15:O15)=0, 0, AVERAGEIF(D15:O15, "&lt;&gt;0"))</f>
        <v>7078832.1586666675</v>
      </c>
      <c r="R15" s="126">
        <f t="shared" si="2"/>
        <v>0.26</v>
      </c>
      <c r="S15" s="102"/>
    </row>
    <row r="16" spans="3:19" ht="15" hidden="1" customHeight="1" outlineLevel="1" x14ac:dyDescent="0.2">
      <c r="C16" s="31" t="s">
        <v>30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26">
        <f t="shared" si="1"/>
        <v>0</v>
      </c>
      <c r="Q16" s="27">
        <f>IF(SUM(D16:O16)=0, 0, AVERAGEIF(D16:O16, "&lt;&gt;0"))</f>
        <v>0</v>
      </c>
      <c r="R16" s="28">
        <f t="shared" si="2"/>
        <v>0</v>
      </c>
      <c r="S16" s="102"/>
    </row>
    <row r="17" spans="3:19" ht="15" hidden="1" customHeight="1" outlineLevel="1" x14ac:dyDescent="0.2">
      <c r="C17" s="31" t="s">
        <v>31</v>
      </c>
      <c r="D17" s="32"/>
      <c r="E17" s="33"/>
      <c r="F17" s="33"/>
      <c r="G17" s="33"/>
      <c r="H17" s="33"/>
      <c r="I17" s="33"/>
      <c r="J17" s="33"/>
      <c r="K17" s="33"/>
      <c r="L17" s="32"/>
      <c r="M17" s="32"/>
      <c r="N17" s="32"/>
      <c r="O17" s="32"/>
      <c r="P17" s="26">
        <f t="shared" si="1"/>
        <v>0</v>
      </c>
      <c r="Q17" s="27">
        <f t="shared" ref="Q17:Q22" si="7">IF(SUM(D17:O17)=0, 0, AVERAGEIF(D17:O17, "&lt;&gt;"))</f>
        <v>0</v>
      </c>
      <c r="R17" s="28">
        <f t="shared" si="2"/>
        <v>0</v>
      </c>
      <c r="S17" s="102"/>
    </row>
    <row r="18" spans="3:19" ht="15" hidden="1" customHeight="1" outlineLevel="1" x14ac:dyDescent="0.2">
      <c r="C18" s="31" t="s">
        <v>32</v>
      </c>
      <c r="D18" s="32"/>
      <c r="E18" s="33"/>
      <c r="F18" s="33"/>
      <c r="G18" s="33"/>
      <c r="H18" s="33"/>
      <c r="I18" s="33"/>
      <c r="J18" s="33"/>
      <c r="K18" s="33"/>
      <c r="L18" s="32"/>
      <c r="M18" s="32"/>
      <c r="N18" s="32"/>
      <c r="O18" s="32"/>
      <c r="P18" s="26">
        <f t="shared" si="1"/>
        <v>0</v>
      </c>
      <c r="Q18" s="27">
        <f t="shared" si="7"/>
        <v>0</v>
      </c>
      <c r="R18" s="28">
        <f t="shared" si="2"/>
        <v>0</v>
      </c>
      <c r="S18" s="102"/>
    </row>
    <row r="19" spans="3:19" ht="15" hidden="1" customHeight="1" outlineLevel="1" x14ac:dyDescent="0.2">
      <c r="C19" s="31" t="s">
        <v>33</v>
      </c>
      <c r="D19" s="32"/>
      <c r="E19" s="33"/>
      <c r="F19" s="33"/>
      <c r="G19" s="33"/>
      <c r="H19" s="33"/>
      <c r="I19" s="33"/>
      <c r="J19" s="33"/>
      <c r="K19" s="33"/>
      <c r="L19" s="32"/>
      <c r="M19" s="32"/>
      <c r="N19" s="32"/>
      <c r="O19" s="32"/>
      <c r="P19" s="26">
        <f t="shared" si="1"/>
        <v>0</v>
      </c>
      <c r="Q19" s="27">
        <f t="shared" si="7"/>
        <v>0</v>
      </c>
      <c r="R19" s="28">
        <f t="shared" si="2"/>
        <v>0</v>
      </c>
      <c r="S19" s="102"/>
    </row>
    <row r="20" spans="3:19" ht="15" hidden="1" customHeight="1" outlineLevel="1" x14ac:dyDescent="0.2">
      <c r="C20" s="31" t="s">
        <v>34</v>
      </c>
      <c r="D20" s="32"/>
      <c r="E20" s="33"/>
      <c r="F20" s="33"/>
      <c r="G20" s="33"/>
      <c r="H20" s="33"/>
      <c r="I20" s="33"/>
      <c r="J20" s="33"/>
      <c r="K20" s="33"/>
      <c r="L20" s="32"/>
      <c r="M20" s="32"/>
      <c r="N20" s="32"/>
      <c r="O20" s="32"/>
      <c r="P20" s="26">
        <f t="shared" si="1"/>
        <v>0</v>
      </c>
      <c r="Q20" s="27">
        <f t="shared" si="7"/>
        <v>0</v>
      </c>
      <c r="R20" s="28">
        <f t="shared" si="2"/>
        <v>0</v>
      </c>
      <c r="S20" s="102"/>
    </row>
    <row r="21" spans="3:19" ht="15" hidden="1" customHeight="1" outlineLevel="1" x14ac:dyDescent="0.2">
      <c r="C21" s="31" t="s">
        <v>35</v>
      </c>
      <c r="D21" s="32"/>
      <c r="E21" s="33"/>
      <c r="F21" s="33"/>
      <c r="G21" s="33"/>
      <c r="H21" s="33"/>
      <c r="I21" s="33"/>
      <c r="J21" s="33"/>
      <c r="K21" s="33"/>
      <c r="L21" s="32"/>
      <c r="M21" s="32"/>
      <c r="N21" s="32"/>
      <c r="O21" s="32"/>
      <c r="P21" s="26">
        <f t="shared" si="1"/>
        <v>0</v>
      </c>
      <c r="Q21" s="27">
        <f t="shared" si="7"/>
        <v>0</v>
      </c>
      <c r="R21" s="28">
        <f t="shared" si="2"/>
        <v>0</v>
      </c>
      <c r="S21" s="102"/>
    </row>
    <row r="22" spans="3:19" ht="15" hidden="1" customHeight="1" outlineLevel="1" x14ac:dyDescent="0.2">
      <c r="C22" s="31" t="s">
        <v>36</v>
      </c>
      <c r="D22" s="32">
        <f>D3*0.26</f>
        <v>7369385.5300000003</v>
      </c>
      <c r="E22" s="32">
        <f>E3*0.26</f>
        <v>6531685.6800000006</v>
      </c>
      <c r="F22" s="32">
        <f t="shared" ref="F22:O22" si="8">F3*0.26</f>
        <v>7106982.7400000002</v>
      </c>
      <c r="G22" s="32">
        <f t="shared" si="8"/>
        <v>6842488.6400000006</v>
      </c>
      <c r="H22" s="32">
        <f t="shared" si="8"/>
        <v>6847580.4800000004</v>
      </c>
      <c r="I22" s="32">
        <f t="shared" si="8"/>
        <v>5476577.3399999999</v>
      </c>
      <c r="J22" s="32">
        <f t="shared" si="8"/>
        <v>6432394.4360000007</v>
      </c>
      <c r="K22" s="32">
        <f t="shared" si="8"/>
        <v>6579829.8280000007</v>
      </c>
      <c r="L22" s="32">
        <f t="shared" si="8"/>
        <v>6942110.6040000003</v>
      </c>
      <c r="M22" s="32">
        <f t="shared" si="8"/>
        <v>8071041.8619999997</v>
      </c>
      <c r="N22" s="32">
        <f t="shared" si="8"/>
        <v>8102242.8760000011</v>
      </c>
      <c r="O22" s="32">
        <f t="shared" si="8"/>
        <v>8643665.8880000003</v>
      </c>
      <c r="P22" s="26">
        <f t="shared" si="1"/>
        <v>84945985.904000014</v>
      </c>
      <c r="Q22" s="27">
        <f t="shared" si="7"/>
        <v>7078832.1586666675</v>
      </c>
      <c r="R22" s="28">
        <f t="shared" si="2"/>
        <v>0.26</v>
      </c>
    </row>
    <row r="23" spans="3:19" s="55" customFormat="1" ht="15" customHeight="1" collapsed="1" x14ac:dyDescent="0.2">
      <c r="C23" s="34" t="s">
        <v>37</v>
      </c>
      <c r="D23" s="26">
        <f t="shared" ref="D23:O23" si="9">SUM(D24:D26)</f>
        <v>8532038.5399999991</v>
      </c>
      <c r="E23" s="26">
        <f t="shared" si="9"/>
        <v>9561381.3900000006</v>
      </c>
      <c r="F23" s="26">
        <f t="shared" si="9"/>
        <v>8239528.5999999996</v>
      </c>
      <c r="G23" s="26">
        <f t="shared" si="9"/>
        <v>4494331.9000000004</v>
      </c>
      <c r="H23" s="26">
        <f t="shared" si="9"/>
        <v>7808241.6099999994</v>
      </c>
      <c r="I23" s="26">
        <f t="shared" si="9"/>
        <v>6386602.1399999997</v>
      </c>
      <c r="J23" s="26">
        <f t="shared" si="9"/>
        <v>6814130.6500000004</v>
      </c>
      <c r="K23" s="26">
        <f t="shared" si="9"/>
        <v>6331444.21</v>
      </c>
      <c r="L23" s="26">
        <f t="shared" si="9"/>
        <v>9074918.6400000006</v>
      </c>
      <c r="M23" s="26">
        <f t="shared" si="9"/>
        <v>6196983.4900000002</v>
      </c>
      <c r="N23" s="26">
        <f t="shared" si="9"/>
        <v>8229981.870000001</v>
      </c>
      <c r="O23" s="26">
        <f t="shared" si="9"/>
        <v>11652541.199999999</v>
      </c>
      <c r="P23" s="122">
        <f t="shared" si="1"/>
        <v>93322124.24000001</v>
      </c>
      <c r="Q23" s="119">
        <f>IF(SUM(D23:O23)=0, 0, AVERAGEIF(D23:O23, "&lt;&gt;0"))</f>
        <v>7776843.6866666675</v>
      </c>
      <c r="R23" s="112">
        <f t="shared" si="2"/>
        <v>0.28563742058184116</v>
      </c>
      <c r="S23" s="103"/>
    </row>
    <row r="24" spans="3:19" s="55" customFormat="1" ht="15" hidden="1" customHeight="1" outlineLevel="1" x14ac:dyDescent="0.2">
      <c r="C24" s="36" t="s">
        <v>38</v>
      </c>
      <c r="D24" s="37">
        <v>2454158.27</v>
      </c>
      <c r="E24" s="37">
        <v>4762595.3499999996</v>
      </c>
      <c r="F24" s="37">
        <v>3483900.83</v>
      </c>
      <c r="G24" s="37">
        <v>2847082.11</v>
      </c>
      <c r="H24" s="37">
        <v>3069377.05</v>
      </c>
      <c r="I24" s="37">
        <v>1899989.53</v>
      </c>
      <c r="J24" s="37">
        <v>2406876.4900000002</v>
      </c>
      <c r="K24" s="37">
        <v>1929295.86</v>
      </c>
      <c r="L24" s="37">
        <v>3368632.17</v>
      </c>
      <c r="M24" s="109">
        <v>1939087.12</v>
      </c>
      <c r="N24" s="109">
        <v>2725771.22</v>
      </c>
      <c r="O24" s="37">
        <v>4010462.17</v>
      </c>
      <c r="P24" s="39">
        <f t="shared" si="1"/>
        <v>34897228.170000002</v>
      </c>
      <c r="Q24" s="27">
        <f>IF(SUM(D24:O24)=0, 0, AVERAGEIF(D24:O24, "&lt;&gt;"))</f>
        <v>2908102.3475000001</v>
      </c>
      <c r="R24" s="28">
        <f t="shared" si="2"/>
        <v>0.10681233760067231</v>
      </c>
    </row>
    <row r="25" spans="3:19" s="55" customFormat="1" ht="15" hidden="1" customHeight="1" outlineLevel="1" x14ac:dyDescent="0.2">
      <c r="C25" s="36" t="s">
        <v>39</v>
      </c>
      <c r="D25" s="37">
        <v>5022630.2699999996</v>
      </c>
      <c r="E25" s="37">
        <v>3433986.04</v>
      </c>
      <c r="F25" s="109">
        <v>3295607.77</v>
      </c>
      <c r="G25" s="37">
        <v>223459.79</v>
      </c>
      <c r="H25" s="37">
        <v>3227514.56</v>
      </c>
      <c r="I25" s="37">
        <v>3203702.61</v>
      </c>
      <c r="J25" s="37">
        <v>3007254.16</v>
      </c>
      <c r="K25" s="37">
        <v>2430148.35</v>
      </c>
      <c r="L25" s="37">
        <v>4048889.47</v>
      </c>
      <c r="M25" s="109">
        <v>2657896.37</v>
      </c>
      <c r="N25" s="109">
        <v>4261945.6500000004</v>
      </c>
      <c r="O25" s="37">
        <v>5993579.0300000003</v>
      </c>
      <c r="P25" s="39">
        <f t="shared" si="1"/>
        <v>40806614.07</v>
      </c>
      <c r="Q25" s="27">
        <f>IF(SUM(D25:O25)=0, 0, AVERAGEIF(D25:O25, "&lt;&gt;"))</f>
        <v>3400551.1724999999</v>
      </c>
      <c r="R25" s="28">
        <f t="shared" si="2"/>
        <v>0.12489959996685848</v>
      </c>
    </row>
    <row r="26" spans="3:19" s="55" customFormat="1" ht="15" hidden="1" customHeight="1" outlineLevel="1" x14ac:dyDescent="0.2">
      <c r="C26" s="36" t="s">
        <v>40</v>
      </c>
      <c r="D26" s="37">
        <v>1055250</v>
      </c>
      <c r="E26" s="37">
        <v>1364800</v>
      </c>
      <c r="F26" s="37">
        <v>1460020</v>
      </c>
      <c r="G26" s="37">
        <v>1423790</v>
      </c>
      <c r="H26" s="37">
        <v>1511350</v>
      </c>
      <c r="I26" s="37">
        <v>1282910</v>
      </c>
      <c r="J26" s="37">
        <v>1400000</v>
      </c>
      <c r="K26" s="37">
        <v>1972000</v>
      </c>
      <c r="L26" s="37">
        <v>1657397</v>
      </c>
      <c r="M26" s="37">
        <v>1600000</v>
      </c>
      <c r="N26" s="37">
        <v>1242265</v>
      </c>
      <c r="O26" s="37">
        <v>1648500</v>
      </c>
      <c r="P26" s="39">
        <f t="shared" si="1"/>
        <v>17618282</v>
      </c>
      <c r="Q26" s="27">
        <f>IF(SUM(D26:O26)=0, 0, AVERAGEIF(D26:O26, "&lt;&gt;"))</f>
        <v>1468190.1666666667</v>
      </c>
      <c r="R26" s="28">
        <f t="shared" si="2"/>
        <v>5.3925483014310362E-2</v>
      </c>
    </row>
    <row r="27" spans="3:19" ht="15" customHeight="1" collapsed="1" x14ac:dyDescent="0.2">
      <c r="C27" s="29" t="s">
        <v>41</v>
      </c>
      <c r="D27" s="25">
        <f t="shared" ref="D27:O27" si="10">SUM(D28:D31)</f>
        <v>200000</v>
      </c>
      <c r="E27" s="25">
        <f t="shared" si="10"/>
        <v>200000</v>
      </c>
      <c r="F27" s="25">
        <f t="shared" si="10"/>
        <v>375600</v>
      </c>
      <c r="G27" s="25">
        <f t="shared" si="10"/>
        <v>200000</v>
      </c>
      <c r="H27" s="25">
        <f t="shared" si="10"/>
        <v>1609385</v>
      </c>
      <c r="I27" s="25">
        <f t="shared" si="10"/>
        <v>1609385</v>
      </c>
      <c r="J27" s="25">
        <f t="shared" si="10"/>
        <v>200000</v>
      </c>
      <c r="K27" s="25">
        <f t="shared" si="10"/>
        <v>200000</v>
      </c>
      <c r="L27" s="25">
        <f t="shared" si="10"/>
        <v>306000</v>
      </c>
      <c r="M27" s="25">
        <f t="shared" si="10"/>
        <v>200000</v>
      </c>
      <c r="N27" s="25">
        <f t="shared" si="10"/>
        <v>200000</v>
      </c>
      <c r="O27" s="25">
        <f t="shared" si="10"/>
        <v>2484615.04</v>
      </c>
      <c r="P27" s="122">
        <f t="shared" si="1"/>
        <v>7784985.04</v>
      </c>
      <c r="Q27" s="119">
        <f>IF(SUM(D27:O27)=0, 0, AVERAGEIF(D27:O27, "&lt;&gt;0"))</f>
        <v>648748.7533333333</v>
      </c>
      <c r="R27" s="112">
        <f t="shared" si="2"/>
        <v>2.3828037179855578E-2</v>
      </c>
    </row>
    <row r="28" spans="3:19" ht="15" hidden="1" customHeight="1" outlineLevel="1" x14ac:dyDescent="0.2">
      <c r="C28" s="40" t="s">
        <v>42</v>
      </c>
      <c r="D28" s="41">
        <v>150000</v>
      </c>
      <c r="E28" s="41">
        <v>150000</v>
      </c>
      <c r="F28" s="41">
        <v>150000</v>
      </c>
      <c r="G28" s="41">
        <v>150000</v>
      </c>
      <c r="H28" s="41">
        <v>150000</v>
      </c>
      <c r="I28" s="41">
        <v>150000</v>
      </c>
      <c r="J28" s="41">
        <v>150000</v>
      </c>
      <c r="K28" s="41">
        <v>150000</v>
      </c>
      <c r="L28" s="41">
        <v>150000</v>
      </c>
      <c r="M28" s="41">
        <v>150000</v>
      </c>
      <c r="N28" s="41">
        <v>150000</v>
      </c>
      <c r="O28" s="41">
        <v>150000</v>
      </c>
      <c r="P28" s="42">
        <f t="shared" si="1"/>
        <v>1800000</v>
      </c>
      <c r="Q28" s="27">
        <f>IF(SUM(D28:O28)=0, 0, AVERAGEIF(D28:O28, "&lt;&gt;"))</f>
        <v>150000</v>
      </c>
      <c r="R28" s="28">
        <f t="shared" si="2"/>
        <v>5.5093833454225929E-3</v>
      </c>
    </row>
    <row r="29" spans="3:19" ht="15" hidden="1" customHeight="1" outlineLevel="1" x14ac:dyDescent="0.2">
      <c r="C29" s="40" t="s">
        <v>43</v>
      </c>
      <c r="D29" s="41">
        <v>50000</v>
      </c>
      <c r="E29" s="41">
        <v>50000</v>
      </c>
      <c r="F29" s="41">
        <v>50000</v>
      </c>
      <c r="G29" s="41">
        <v>50000</v>
      </c>
      <c r="H29" s="41">
        <v>50000</v>
      </c>
      <c r="I29" s="41">
        <v>50000</v>
      </c>
      <c r="J29" s="41">
        <v>50000</v>
      </c>
      <c r="K29" s="41">
        <v>50000</v>
      </c>
      <c r="L29" s="41">
        <v>50000</v>
      </c>
      <c r="M29" s="41">
        <v>50000</v>
      </c>
      <c r="N29" s="41">
        <v>50000</v>
      </c>
      <c r="O29" s="41">
        <v>50000</v>
      </c>
      <c r="P29" s="42">
        <f t="shared" si="1"/>
        <v>600000</v>
      </c>
      <c r="Q29" s="27">
        <f>IF(SUM(D29:O29)=0, 0, AVERAGEIF(D29:O29, "&lt;&gt;"))</f>
        <v>50000</v>
      </c>
      <c r="R29" s="28">
        <f t="shared" si="2"/>
        <v>1.8364611151408642E-3</v>
      </c>
    </row>
    <row r="30" spans="3:19" ht="15" hidden="1" customHeight="1" outlineLevel="1" x14ac:dyDescent="0.2">
      <c r="C30" s="40" t="s">
        <v>44</v>
      </c>
      <c r="D30" s="41">
        <v>0</v>
      </c>
      <c r="E30" s="41">
        <v>0</v>
      </c>
      <c r="F30" s="41">
        <v>0</v>
      </c>
      <c r="G30" s="38">
        <v>0</v>
      </c>
      <c r="H30" s="38">
        <v>1409385</v>
      </c>
      <c r="I30" s="41">
        <v>1409385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1814615.04</v>
      </c>
      <c r="P30" s="42">
        <f t="shared" si="1"/>
        <v>4633385.04</v>
      </c>
      <c r="Q30" s="27">
        <f>IF(SUM(D30:O30)=0, 0, AVERAGEIF(D30:O30, "&lt;&gt;"))</f>
        <v>386115.42</v>
      </c>
      <c r="R30" s="28">
        <f t="shared" si="2"/>
        <v>1.4181719095725664E-2</v>
      </c>
    </row>
    <row r="31" spans="3:19" ht="15" hidden="1" customHeight="1" outlineLevel="1" x14ac:dyDescent="0.2">
      <c r="C31" s="40" t="s">
        <v>45</v>
      </c>
      <c r="D31" s="41">
        <v>0</v>
      </c>
      <c r="E31" s="41">
        <v>0</v>
      </c>
      <c r="F31" s="38">
        <v>175600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106000</v>
      </c>
      <c r="M31" s="41">
        <v>0</v>
      </c>
      <c r="N31" s="41">
        <v>0</v>
      </c>
      <c r="O31" s="41">
        <v>470000</v>
      </c>
      <c r="P31" s="42">
        <f t="shared" si="1"/>
        <v>751600</v>
      </c>
      <c r="Q31" s="27">
        <f>IF(SUM(D31:O31)=0, 0, AVERAGEIF(D31:O31, "&lt;&gt;"))</f>
        <v>62633.333333333336</v>
      </c>
      <c r="R31" s="28">
        <f t="shared" si="2"/>
        <v>2.3004736235664562E-3</v>
      </c>
    </row>
    <row r="32" spans="3:19" ht="15" customHeight="1" collapsed="1" x14ac:dyDescent="0.2">
      <c r="C32" s="34" t="s">
        <v>46</v>
      </c>
      <c r="D32" s="106">
        <f t="shared" ref="D32:O32" si="11">SUM(D33:D35)</f>
        <v>1600000</v>
      </c>
      <c r="E32" s="106">
        <f t="shared" si="11"/>
        <v>1600000</v>
      </c>
      <c r="F32" s="106">
        <f t="shared" si="11"/>
        <v>1600000</v>
      </c>
      <c r="G32" s="106">
        <f t="shared" si="11"/>
        <v>1600000</v>
      </c>
      <c r="H32" s="106">
        <f t="shared" si="11"/>
        <v>1600000</v>
      </c>
      <c r="I32" s="106">
        <f t="shared" si="11"/>
        <v>1600000</v>
      </c>
      <c r="J32" s="106">
        <f t="shared" si="11"/>
        <v>1600000</v>
      </c>
      <c r="K32" s="106">
        <f t="shared" si="11"/>
        <v>1600000</v>
      </c>
      <c r="L32" s="106">
        <f t="shared" si="11"/>
        <v>1600000</v>
      </c>
      <c r="M32" s="106">
        <f t="shared" si="11"/>
        <v>1600000</v>
      </c>
      <c r="N32" s="106">
        <f t="shared" si="11"/>
        <v>1600000</v>
      </c>
      <c r="O32" s="106">
        <f t="shared" si="11"/>
        <v>1600000</v>
      </c>
      <c r="P32" s="118">
        <f t="shared" si="1"/>
        <v>19200000</v>
      </c>
      <c r="Q32" s="119">
        <f>IF(SUM(D32:O32)=0, 0, AVERAGEIF(D32:O32, "&lt;&gt;0"))</f>
        <v>1600000</v>
      </c>
      <c r="R32" s="112">
        <f t="shared" si="2"/>
        <v>5.8766755684507656E-2</v>
      </c>
    </row>
    <row r="33" spans="3:18" ht="15" hidden="1" customHeight="1" outlineLevel="1" x14ac:dyDescent="0.2">
      <c r="C33" s="40" t="s">
        <v>47</v>
      </c>
      <c r="D33" s="108">
        <v>1600000</v>
      </c>
      <c r="E33" s="108">
        <v>1600000</v>
      </c>
      <c r="F33" s="108">
        <v>1600000</v>
      </c>
      <c r="G33" s="108">
        <v>1600000</v>
      </c>
      <c r="H33" s="108">
        <v>1600000</v>
      </c>
      <c r="I33" s="108">
        <v>1600000</v>
      </c>
      <c r="J33" s="108">
        <v>1600000</v>
      </c>
      <c r="K33" s="108">
        <v>1600000</v>
      </c>
      <c r="L33" s="108">
        <v>1600000</v>
      </c>
      <c r="M33" s="108">
        <v>1600000</v>
      </c>
      <c r="N33" s="108">
        <v>1600000</v>
      </c>
      <c r="O33" s="108">
        <v>1600000</v>
      </c>
      <c r="P33" s="120">
        <f t="shared" si="1"/>
        <v>19200000</v>
      </c>
      <c r="Q33" s="121">
        <f>IF(SUM(D33:O33)=0, 0, AVERAGEIF(D33:O33, "&lt;&gt;"))</f>
        <v>1600000</v>
      </c>
      <c r="R33" s="28">
        <f t="shared" si="2"/>
        <v>5.8766755684507656E-2</v>
      </c>
    </row>
    <row r="34" spans="3:18" ht="15" hidden="1" customHeight="1" outlineLevel="1" x14ac:dyDescent="0.2">
      <c r="C34" s="40" t="s">
        <v>48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120">
        <f t="shared" si="1"/>
        <v>0</v>
      </c>
      <c r="Q34" s="121">
        <f>IF(SUM(D34:O34)=0, 0, AVERAGEIF(D34:O34, "&lt;&gt;"))</f>
        <v>0</v>
      </c>
      <c r="R34" s="28">
        <f t="shared" si="2"/>
        <v>0</v>
      </c>
    </row>
    <row r="35" spans="3:18" ht="15" hidden="1" customHeight="1" outlineLevel="1" x14ac:dyDescent="0.2">
      <c r="C35" s="31" t="s">
        <v>49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108">
        <v>0</v>
      </c>
      <c r="L35" s="108">
        <v>0</v>
      </c>
      <c r="M35" s="38">
        <v>0</v>
      </c>
      <c r="N35" s="38">
        <v>0</v>
      </c>
      <c r="O35" s="38">
        <v>0</v>
      </c>
      <c r="P35" s="120">
        <f t="shared" ref="P35:P65" si="12">SUM(D35:O35)</f>
        <v>0</v>
      </c>
      <c r="Q35" s="121">
        <f>IF(SUM(D35:O35)=0, 0, AVERAGEIF(D35:O35, "&lt;&gt;"))</f>
        <v>0</v>
      </c>
      <c r="R35" s="28">
        <f t="shared" si="2"/>
        <v>0</v>
      </c>
    </row>
    <row r="36" spans="3:18" ht="15" customHeight="1" collapsed="1" x14ac:dyDescent="0.2">
      <c r="C36" s="34" t="s">
        <v>50</v>
      </c>
      <c r="D36" s="25">
        <f t="shared" ref="D36:O36" si="13">SUM(D37:D43)</f>
        <v>414434.07</v>
      </c>
      <c r="E36" s="25">
        <f t="shared" si="13"/>
        <v>544629.32999999996</v>
      </c>
      <c r="F36" s="25">
        <f t="shared" si="13"/>
        <v>443879.16</v>
      </c>
      <c r="G36" s="25">
        <f t="shared" si="13"/>
        <v>435681.32999999996</v>
      </c>
      <c r="H36" s="25">
        <f t="shared" si="13"/>
        <v>410399.66</v>
      </c>
      <c r="I36" s="25">
        <f t="shared" si="13"/>
        <v>589518.44999999995</v>
      </c>
      <c r="J36" s="25">
        <f t="shared" si="13"/>
        <v>354492.88</v>
      </c>
      <c r="K36" s="25">
        <f t="shared" si="13"/>
        <v>1434137.2199999997</v>
      </c>
      <c r="L36" s="25">
        <f t="shared" si="13"/>
        <v>403441.07</v>
      </c>
      <c r="M36" s="25">
        <f t="shared" si="13"/>
        <v>353582.48</v>
      </c>
      <c r="N36" s="25">
        <f t="shared" si="13"/>
        <v>526210.43999999994</v>
      </c>
      <c r="O36" s="25">
        <f t="shared" si="13"/>
        <v>596997.89</v>
      </c>
      <c r="P36" s="122">
        <f t="shared" si="12"/>
        <v>6507403.9799999995</v>
      </c>
      <c r="Q36" s="119">
        <f>IF(SUM(D36:O36)=0, 0, AVERAGEIF(D36:O36, "&lt;&gt;0"))</f>
        <v>542283.66499999992</v>
      </c>
      <c r="R36" s="112">
        <f t="shared" ref="R36:R65" si="14">IF(P$3=0, 0, P36/P$3)</f>
        <v>1.9917657282971495E-2</v>
      </c>
    </row>
    <row r="37" spans="3:18" ht="15" hidden="1" customHeight="1" outlineLevel="1" x14ac:dyDescent="0.2">
      <c r="C37" s="31" t="s">
        <v>51</v>
      </c>
      <c r="D37" s="38">
        <v>300685.95</v>
      </c>
      <c r="E37" s="38">
        <v>427159.73</v>
      </c>
      <c r="F37" s="38">
        <v>318864.87</v>
      </c>
      <c r="G37" s="38">
        <v>305305.69</v>
      </c>
      <c r="H37" s="38">
        <v>269710.56</v>
      </c>
      <c r="I37" s="38">
        <f>219734.59+226971.36</f>
        <v>446705.94999999995</v>
      </c>
      <c r="J37" s="38">
        <v>219734.59</v>
      </c>
      <c r="K37" s="38">
        <v>646703.9</v>
      </c>
      <c r="L37" s="38">
        <v>269734.08</v>
      </c>
      <c r="M37" s="38">
        <v>216961.02</v>
      </c>
      <c r="N37" s="38">
        <v>384090.56</v>
      </c>
      <c r="O37" s="38">
        <v>460873.73</v>
      </c>
      <c r="P37" s="42">
        <f t="shared" si="12"/>
        <v>4266530.63</v>
      </c>
      <c r="Q37" s="27">
        <f t="shared" ref="Q37:Q43" si="15">IF(SUM(D37:O37)=0, 0, AVERAGEIF(D37:O37, "&lt;&gt;"))</f>
        <v>355544.21916666668</v>
      </c>
      <c r="R37" s="28">
        <f t="shared" si="14"/>
        <v>1.305886266425409E-2</v>
      </c>
    </row>
    <row r="38" spans="3:18" ht="15" hidden="1" customHeight="1" outlineLevel="1" x14ac:dyDescent="0.2">
      <c r="C38" s="31" t="s">
        <v>52</v>
      </c>
      <c r="D38" s="38">
        <v>23723.52</v>
      </c>
      <c r="E38" s="38">
        <v>27445</v>
      </c>
      <c r="F38" s="38">
        <v>34989.69</v>
      </c>
      <c r="G38" s="38">
        <v>40351.040000000001</v>
      </c>
      <c r="H38" s="38">
        <v>32140.25</v>
      </c>
      <c r="I38" s="38">
        <v>34263.65</v>
      </c>
      <c r="J38" s="38">
        <v>26209.439999999999</v>
      </c>
      <c r="K38" s="38">
        <v>28733.07</v>
      </c>
      <c r="L38" s="38">
        <v>25158.14</v>
      </c>
      <c r="M38" s="38">
        <v>28072.61</v>
      </c>
      <c r="N38" s="38">
        <v>33571.03</v>
      </c>
      <c r="O38" s="38">
        <v>27575.31</v>
      </c>
      <c r="P38" s="42">
        <f t="shared" si="12"/>
        <v>362232.74999999994</v>
      </c>
      <c r="Q38" s="27">
        <f t="shared" si="15"/>
        <v>30186.062499999996</v>
      </c>
      <c r="R38" s="28">
        <f t="shared" si="14"/>
        <v>1.1087106000092365E-3</v>
      </c>
    </row>
    <row r="39" spans="3:18" ht="15" hidden="1" customHeight="1" outlineLevel="1" x14ac:dyDescent="0.2">
      <c r="C39" s="31" t="s">
        <v>53</v>
      </c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119460.7</v>
      </c>
      <c r="L39" s="38">
        <v>0</v>
      </c>
      <c r="M39" s="38">
        <v>0</v>
      </c>
      <c r="N39" s="38">
        <v>0</v>
      </c>
      <c r="O39" s="38">
        <v>0</v>
      </c>
      <c r="P39" s="42">
        <f t="shared" si="12"/>
        <v>119460.7</v>
      </c>
      <c r="Q39" s="27">
        <f t="shared" si="15"/>
        <v>9955.0583333333325</v>
      </c>
      <c r="R39" s="28">
        <f t="shared" si="14"/>
        <v>3.6564155056251376E-4</v>
      </c>
    </row>
    <row r="40" spans="3:18" ht="15" hidden="1" customHeight="1" outlineLevel="1" x14ac:dyDescent="0.2">
      <c r="C40" s="31" t="s">
        <v>54</v>
      </c>
      <c r="D40" s="38">
        <v>50000</v>
      </c>
      <c r="E40" s="38">
        <v>50000</v>
      </c>
      <c r="F40" s="38">
        <v>50000</v>
      </c>
      <c r="G40" s="38">
        <v>50000</v>
      </c>
      <c r="H40" s="38">
        <v>50000</v>
      </c>
      <c r="I40" s="38">
        <v>50000</v>
      </c>
      <c r="J40" s="38">
        <v>50000</v>
      </c>
      <c r="K40" s="38">
        <v>50000</v>
      </c>
      <c r="L40" s="38">
        <v>50000</v>
      </c>
      <c r="M40" s="38">
        <v>50000</v>
      </c>
      <c r="N40" s="38">
        <v>50000</v>
      </c>
      <c r="O40" s="38">
        <v>50000</v>
      </c>
      <c r="P40" s="42">
        <f t="shared" si="12"/>
        <v>600000</v>
      </c>
      <c r="Q40" s="27">
        <f t="shared" si="15"/>
        <v>50000</v>
      </c>
      <c r="R40" s="28">
        <f t="shared" si="14"/>
        <v>1.8364611151408642E-3</v>
      </c>
    </row>
    <row r="41" spans="3:18" ht="15" hidden="1" customHeight="1" outlineLevel="1" x14ac:dyDescent="0.2">
      <c r="C41" s="31" t="s">
        <v>55</v>
      </c>
      <c r="D41" s="38">
        <v>10000</v>
      </c>
      <c r="E41" s="38">
        <v>10000</v>
      </c>
      <c r="F41" s="38">
        <v>10000</v>
      </c>
      <c r="G41" s="38">
        <v>10000</v>
      </c>
      <c r="H41" s="38">
        <v>10000</v>
      </c>
      <c r="I41" s="38">
        <v>10000</v>
      </c>
      <c r="J41" s="38">
        <v>10000</v>
      </c>
      <c r="K41" s="38">
        <v>10000</v>
      </c>
      <c r="L41" s="38">
        <v>10000</v>
      </c>
      <c r="M41" s="38">
        <v>10000</v>
      </c>
      <c r="N41" s="38">
        <v>10000</v>
      </c>
      <c r="O41" s="38">
        <v>10000</v>
      </c>
      <c r="P41" s="42">
        <f t="shared" si="12"/>
        <v>120000</v>
      </c>
      <c r="Q41" s="27">
        <f t="shared" si="15"/>
        <v>10000</v>
      </c>
      <c r="R41" s="28">
        <f t="shared" si="14"/>
        <v>3.6729222302817288E-4</v>
      </c>
    </row>
    <row r="42" spans="3:18" ht="15" hidden="1" customHeight="1" outlineLevel="1" x14ac:dyDescent="0.2">
      <c r="C42" s="31" t="s">
        <v>56</v>
      </c>
      <c r="D42" s="38">
        <v>30024.6</v>
      </c>
      <c r="E42" s="38">
        <v>30024.6</v>
      </c>
      <c r="F42" s="38">
        <v>30024.6</v>
      </c>
      <c r="G42" s="38">
        <v>30024.6</v>
      </c>
      <c r="H42" s="38">
        <v>48548.85</v>
      </c>
      <c r="I42" s="38">
        <v>48548.85</v>
      </c>
      <c r="J42" s="38">
        <v>48548.85</v>
      </c>
      <c r="K42" s="38">
        <v>48548.85</v>
      </c>
      <c r="L42" s="38">
        <v>48548.85</v>
      </c>
      <c r="M42" s="38">
        <v>48548.85</v>
      </c>
      <c r="N42" s="38">
        <v>48548.85</v>
      </c>
      <c r="O42" s="38">
        <v>48548.85</v>
      </c>
      <c r="P42" s="42">
        <f t="shared" si="12"/>
        <v>508489.1999999999</v>
      </c>
      <c r="Q42" s="27">
        <f t="shared" si="15"/>
        <v>42374.099999999991</v>
      </c>
      <c r="R42" s="28">
        <f t="shared" si="14"/>
        <v>1.5563677387818097E-3</v>
      </c>
    </row>
    <row r="43" spans="3:18" ht="15" hidden="1" customHeight="1" outlineLevel="1" x14ac:dyDescent="0.2">
      <c r="C43" s="31" t="s">
        <v>57</v>
      </c>
      <c r="D43" s="38">
        <v>0</v>
      </c>
      <c r="E43" s="38">
        <v>0</v>
      </c>
      <c r="F43" s="38">
        <v>0</v>
      </c>
      <c r="G43" s="38">
        <v>0</v>
      </c>
      <c r="H43" s="38">
        <v>0</v>
      </c>
      <c r="I43" s="38">
        <v>0</v>
      </c>
      <c r="J43" s="38">
        <v>0</v>
      </c>
      <c r="K43" s="38">
        <v>530690.69999999995</v>
      </c>
      <c r="L43" s="38">
        <v>0</v>
      </c>
      <c r="M43" s="38">
        <v>0</v>
      </c>
      <c r="N43" s="38">
        <v>0</v>
      </c>
      <c r="O43" s="38">
        <v>0</v>
      </c>
      <c r="P43" s="42">
        <f t="shared" si="12"/>
        <v>530690.69999999995</v>
      </c>
      <c r="Q43" s="27">
        <f t="shared" si="15"/>
        <v>44224.224999999999</v>
      </c>
      <c r="R43" s="28">
        <f t="shared" si="14"/>
        <v>1.6243213911948096E-3</v>
      </c>
    </row>
    <row r="44" spans="3:18" ht="15" customHeight="1" collapsed="1" x14ac:dyDescent="0.2">
      <c r="C44" s="29" t="s">
        <v>58</v>
      </c>
      <c r="D44" s="25">
        <f t="shared" ref="D44:O44" si="16">SUM(D45:D56)</f>
        <v>1341732.3799999999</v>
      </c>
      <c r="E44" s="25">
        <f t="shared" si="16"/>
        <v>1112923.03</v>
      </c>
      <c r="F44" s="25">
        <f t="shared" si="16"/>
        <v>1396304.15</v>
      </c>
      <c r="G44" s="25">
        <f t="shared" si="16"/>
        <v>1166791.31</v>
      </c>
      <c r="H44" s="25">
        <f t="shared" si="16"/>
        <v>888803.95</v>
      </c>
      <c r="I44" s="25">
        <f t="shared" si="16"/>
        <v>1187438.03</v>
      </c>
      <c r="J44" s="25">
        <f t="shared" si="16"/>
        <v>982431.22</v>
      </c>
      <c r="K44" s="25">
        <f t="shared" si="16"/>
        <v>1060903.3500000001</v>
      </c>
      <c r="L44" s="25">
        <f t="shared" si="16"/>
        <v>1706716.87</v>
      </c>
      <c r="M44" s="25">
        <f t="shared" si="16"/>
        <v>1065304.6000000001</v>
      </c>
      <c r="N44" s="25">
        <f t="shared" si="16"/>
        <v>1070734.03</v>
      </c>
      <c r="O44" s="25">
        <f t="shared" si="16"/>
        <v>2260723.5499999998</v>
      </c>
      <c r="P44" s="122">
        <f t="shared" si="12"/>
        <v>15240806.469999999</v>
      </c>
      <c r="Q44" s="119">
        <f>IF(SUM(D44:O44)=0, 0, AVERAGEIF(D44:O44, "&lt;&gt;0"))</f>
        <v>1270067.2058333333</v>
      </c>
      <c r="R44" s="112">
        <f t="shared" si="14"/>
        <v>4.6648580742570493E-2</v>
      </c>
    </row>
    <row r="45" spans="3:18" ht="15" hidden="1" customHeight="1" outlineLevel="1" x14ac:dyDescent="0.2">
      <c r="C45" s="40" t="s">
        <v>59</v>
      </c>
      <c r="D45" s="38">
        <v>221570</v>
      </c>
      <c r="E45" s="38">
        <v>320850</v>
      </c>
      <c r="F45" s="38">
        <v>610110</v>
      </c>
      <c r="G45" s="38">
        <v>363820</v>
      </c>
      <c r="H45" s="38">
        <v>261529</v>
      </c>
      <c r="I45" s="38">
        <v>605281</v>
      </c>
      <c r="J45" s="38">
        <v>422001</v>
      </c>
      <c r="K45" s="38">
        <v>423971</v>
      </c>
      <c r="L45" s="38">
        <v>501060.3</v>
      </c>
      <c r="M45" s="38">
        <v>482672.4</v>
      </c>
      <c r="N45" s="38">
        <v>479969.5</v>
      </c>
      <c r="O45" s="38">
        <v>399263.5</v>
      </c>
      <c r="P45" s="42">
        <f t="shared" si="12"/>
        <v>5092097.7</v>
      </c>
      <c r="Q45" s="27">
        <f t="shared" ref="Q45:Q56" si="17">IF(SUM(D45:O45)=0, 0, AVERAGEIF(D45:O45, "&lt;&gt;"))</f>
        <v>424341.47500000003</v>
      </c>
      <c r="R45" s="28">
        <f t="shared" si="14"/>
        <v>1.5585732367580384E-2</v>
      </c>
    </row>
    <row r="46" spans="3:18" ht="15" hidden="1" customHeight="1" outlineLevel="1" x14ac:dyDescent="0.2">
      <c r="C46" s="40" t="s">
        <v>60</v>
      </c>
      <c r="D46" s="38">
        <v>289220.38</v>
      </c>
      <c r="E46" s="38">
        <v>270790.03000000003</v>
      </c>
      <c r="F46" s="38">
        <v>286484.15000000002</v>
      </c>
      <c r="G46" s="38">
        <v>260966.31</v>
      </c>
      <c r="H46" s="38">
        <v>283195.95</v>
      </c>
      <c r="I46" s="38">
        <v>199772.03</v>
      </c>
      <c r="J46" s="38">
        <v>224220.22</v>
      </c>
      <c r="K46" s="38">
        <v>198236.35</v>
      </c>
      <c r="L46" s="38">
        <v>260559.57</v>
      </c>
      <c r="M46" s="38">
        <v>287922.2</v>
      </c>
      <c r="N46" s="38">
        <v>244730.53</v>
      </c>
      <c r="O46" s="38">
        <v>304703.05</v>
      </c>
      <c r="P46" s="42">
        <f t="shared" si="12"/>
        <v>3110800.77</v>
      </c>
      <c r="Q46" s="27">
        <f t="shared" si="17"/>
        <v>259233.39749999999</v>
      </c>
      <c r="R46" s="28">
        <f t="shared" si="14"/>
        <v>9.5214410850920986E-3</v>
      </c>
    </row>
    <row r="47" spans="3:18" ht="15" hidden="1" customHeight="1" outlineLevel="1" x14ac:dyDescent="0.2">
      <c r="C47" s="31" t="s">
        <v>61</v>
      </c>
      <c r="D47" s="38">
        <v>15000</v>
      </c>
      <c r="E47" s="38">
        <v>15000</v>
      </c>
      <c r="F47" s="38">
        <v>17000</v>
      </c>
      <c r="G47" s="38">
        <v>17000</v>
      </c>
      <c r="H47" s="38">
        <v>17000</v>
      </c>
      <c r="I47" s="38">
        <v>35000</v>
      </c>
      <c r="J47" s="38">
        <v>17000</v>
      </c>
      <c r="K47" s="38">
        <v>17000</v>
      </c>
      <c r="L47" s="38">
        <v>62000</v>
      </c>
      <c r="M47" s="38">
        <v>17000</v>
      </c>
      <c r="N47" s="38">
        <v>17000</v>
      </c>
      <c r="O47" s="38">
        <v>17000</v>
      </c>
      <c r="P47" s="42">
        <f t="shared" si="12"/>
        <v>263000</v>
      </c>
      <c r="Q47" s="27">
        <f t="shared" si="17"/>
        <v>21916.666666666668</v>
      </c>
      <c r="R47" s="28">
        <f t="shared" si="14"/>
        <v>8.0498212213674558E-4</v>
      </c>
    </row>
    <row r="48" spans="3:18" ht="15" hidden="1" customHeight="1" outlineLevel="1" x14ac:dyDescent="0.2">
      <c r="C48" s="31" t="s">
        <v>62</v>
      </c>
      <c r="D48" s="38">
        <v>38250</v>
      </c>
      <c r="E48" s="38">
        <f>38250+3750</f>
        <v>42000</v>
      </c>
      <c r="F48" s="38">
        <v>92450</v>
      </c>
      <c r="G48" s="38">
        <v>38250</v>
      </c>
      <c r="H48" s="38">
        <v>38250</v>
      </c>
      <c r="I48" s="38">
        <v>38250</v>
      </c>
      <c r="J48" s="38">
        <v>79750</v>
      </c>
      <c r="K48" s="38">
        <v>38250</v>
      </c>
      <c r="L48" s="38">
        <v>38250</v>
      </c>
      <c r="M48" s="38">
        <v>38250</v>
      </c>
      <c r="N48" s="38">
        <v>44250</v>
      </c>
      <c r="O48" s="38">
        <v>41250</v>
      </c>
      <c r="P48" s="42">
        <f t="shared" si="12"/>
        <v>567450</v>
      </c>
      <c r="Q48" s="27">
        <f t="shared" si="17"/>
        <v>47287.5</v>
      </c>
      <c r="R48" s="28">
        <f t="shared" si="14"/>
        <v>1.7368330996444725E-3</v>
      </c>
    </row>
    <row r="49" spans="3:18" ht="15" hidden="1" customHeight="1" outlineLevel="1" x14ac:dyDescent="0.2">
      <c r="C49" s="31" t="s">
        <v>63</v>
      </c>
      <c r="D49" s="38">
        <v>0</v>
      </c>
      <c r="E49" s="38">
        <v>0</v>
      </c>
      <c r="F49" s="38">
        <v>0</v>
      </c>
      <c r="G49" s="38">
        <v>0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357500</v>
      </c>
      <c r="P49" s="42">
        <f t="shared" si="12"/>
        <v>357500</v>
      </c>
      <c r="Q49" s="27">
        <f t="shared" si="17"/>
        <v>29791.666666666668</v>
      </c>
      <c r="R49" s="28">
        <f t="shared" si="14"/>
        <v>1.0942247477714318E-3</v>
      </c>
    </row>
    <row r="50" spans="3:18" ht="15" hidden="1" customHeight="1" outlineLevel="1" x14ac:dyDescent="0.2">
      <c r="C50" s="31" t="s">
        <v>64</v>
      </c>
      <c r="D50" s="38">
        <v>0</v>
      </c>
      <c r="E50" s="38">
        <v>0</v>
      </c>
      <c r="F50" s="38">
        <v>0</v>
      </c>
      <c r="G50" s="38">
        <v>0</v>
      </c>
      <c r="H50" s="38">
        <v>0</v>
      </c>
      <c r="I50" s="38">
        <v>0</v>
      </c>
      <c r="J50" s="38">
        <v>0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42">
        <f t="shared" si="12"/>
        <v>0</v>
      </c>
      <c r="Q50" s="27">
        <f t="shared" si="17"/>
        <v>0</v>
      </c>
      <c r="R50" s="28">
        <f t="shared" si="14"/>
        <v>0</v>
      </c>
    </row>
    <row r="51" spans="3:18" ht="15" hidden="1" customHeight="1" outlineLevel="1" x14ac:dyDescent="0.2">
      <c r="C51" s="31" t="s">
        <v>65</v>
      </c>
      <c r="D51" s="38">
        <v>21000</v>
      </c>
      <c r="E51" s="38">
        <v>21000</v>
      </c>
      <c r="F51" s="38">
        <v>21000</v>
      </c>
      <c r="G51" s="38">
        <v>21000</v>
      </c>
      <c r="H51" s="38">
        <v>21000</v>
      </c>
      <c r="I51" s="38">
        <v>21000</v>
      </c>
      <c r="J51" s="38">
        <v>21000</v>
      </c>
      <c r="K51" s="38">
        <v>21000</v>
      </c>
      <c r="L51" s="38">
        <v>21000</v>
      </c>
      <c r="M51" s="38">
        <v>21000</v>
      </c>
      <c r="N51" s="38">
        <v>21000</v>
      </c>
      <c r="O51" s="38">
        <v>21000</v>
      </c>
      <c r="P51" s="42">
        <f t="shared" si="12"/>
        <v>252000</v>
      </c>
      <c r="Q51" s="27">
        <f t="shared" si="17"/>
        <v>21000</v>
      </c>
      <c r="R51" s="28">
        <f t="shared" si="14"/>
        <v>7.7131366835916297E-4</v>
      </c>
    </row>
    <row r="52" spans="3:18" ht="15" hidden="1" customHeight="1" outlineLevel="1" x14ac:dyDescent="0.2">
      <c r="C52" s="31" t="s">
        <v>66</v>
      </c>
      <c r="D52" s="38">
        <v>0</v>
      </c>
      <c r="E52" s="38">
        <v>0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8">
        <v>0</v>
      </c>
      <c r="P52" s="42">
        <f t="shared" si="12"/>
        <v>0</v>
      </c>
      <c r="Q52" s="27">
        <f t="shared" si="17"/>
        <v>0</v>
      </c>
      <c r="R52" s="28">
        <f t="shared" si="14"/>
        <v>0</v>
      </c>
    </row>
    <row r="53" spans="3:18" ht="15" hidden="1" customHeight="1" outlineLevel="1" x14ac:dyDescent="0.2">
      <c r="C53" s="31" t="s">
        <v>67</v>
      </c>
      <c r="D53" s="38">
        <v>0</v>
      </c>
      <c r="E53" s="38">
        <v>0</v>
      </c>
      <c r="F53" s="38">
        <v>0</v>
      </c>
      <c r="G53" s="38">
        <v>62500</v>
      </c>
      <c r="H53" s="38">
        <v>0</v>
      </c>
      <c r="I53" s="38">
        <v>0</v>
      </c>
      <c r="J53" s="38">
        <v>0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42">
        <f t="shared" si="12"/>
        <v>62500</v>
      </c>
      <c r="Q53" s="27">
        <f t="shared" si="17"/>
        <v>5208.333333333333</v>
      </c>
      <c r="R53" s="28">
        <f t="shared" si="14"/>
        <v>1.9129803282717336E-4</v>
      </c>
    </row>
    <row r="54" spans="3:18" ht="15" hidden="1" customHeight="1" outlineLevel="1" x14ac:dyDescent="0.2">
      <c r="C54" s="31" t="s">
        <v>68</v>
      </c>
      <c r="D54" s="38">
        <v>17250</v>
      </c>
      <c r="E54" s="38">
        <v>17250</v>
      </c>
      <c r="F54" s="38">
        <v>18460</v>
      </c>
      <c r="G54" s="38">
        <v>18460</v>
      </c>
      <c r="H54" s="38">
        <v>18460</v>
      </c>
      <c r="I54" s="38">
        <v>18460</v>
      </c>
      <c r="J54" s="38">
        <v>18460</v>
      </c>
      <c r="K54" s="38">
        <v>18460</v>
      </c>
      <c r="L54" s="38">
        <v>18460</v>
      </c>
      <c r="M54" s="38">
        <v>18460</v>
      </c>
      <c r="N54" s="38">
        <v>18460</v>
      </c>
      <c r="O54" s="38">
        <v>18460</v>
      </c>
      <c r="P54" s="42">
        <f t="shared" si="12"/>
        <v>219100</v>
      </c>
      <c r="Q54" s="27">
        <f t="shared" si="17"/>
        <v>18258.333333333332</v>
      </c>
      <c r="R54" s="28">
        <f t="shared" si="14"/>
        <v>6.7061438387893899E-4</v>
      </c>
    </row>
    <row r="55" spans="3:18" ht="15" hidden="1" customHeight="1" outlineLevel="1" x14ac:dyDescent="0.2">
      <c r="C55" s="31" t="s">
        <v>69</v>
      </c>
      <c r="D55" s="38">
        <v>0</v>
      </c>
      <c r="E55" s="38">
        <v>0</v>
      </c>
      <c r="F55" s="38">
        <v>0</v>
      </c>
      <c r="G55" s="38">
        <v>0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42">
        <f t="shared" si="12"/>
        <v>0</v>
      </c>
      <c r="Q55" s="27">
        <f t="shared" si="17"/>
        <v>0</v>
      </c>
      <c r="R55" s="28">
        <f t="shared" si="14"/>
        <v>0</v>
      </c>
    </row>
    <row r="56" spans="3:18" ht="15" hidden="1" customHeight="1" outlineLevel="1" x14ac:dyDescent="0.2">
      <c r="C56" s="31" t="s">
        <v>21</v>
      </c>
      <c r="D56" s="38">
        <v>739442</v>
      </c>
      <c r="E56" s="38">
        <v>426033</v>
      </c>
      <c r="F56" s="38">
        <v>350800</v>
      </c>
      <c r="G56" s="38">
        <v>384795</v>
      </c>
      <c r="H56" s="38">
        <v>249369</v>
      </c>
      <c r="I56" s="38">
        <v>269675</v>
      </c>
      <c r="J56" s="38">
        <v>200000</v>
      </c>
      <c r="K56" s="38">
        <v>343986</v>
      </c>
      <c r="L56" s="38">
        <v>805387</v>
      </c>
      <c r="M56" s="38">
        <v>200000</v>
      </c>
      <c r="N56" s="38">
        <v>245324</v>
      </c>
      <c r="O56" s="38">
        <v>1101547</v>
      </c>
      <c r="P56" s="42">
        <f t="shared" si="12"/>
        <v>5316358</v>
      </c>
      <c r="Q56" s="27">
        <f t="shared" si="17"/>
        <v>443029.83333333331</v>
      </c>
      <c r="R56" s="28">
        <f t="shared" si="14"/>
        <v>1.6272141235280091E-2</v>
      </c>
    </row>
    <row r="57" spans="3:18" ht="15" customHeight="1" collapsed="1" x14ac:dyDescent="0.2">
      <c r="C57" s="29" t="s">
        <v>70</v>
      </c>
      <c r="D57" s="25">
        <f t="shared" ref="D57:O57" si="18">SUM(D58:D63)</f>
        <v>278431.98</v>
      </c>
      <c r="E57" s="25">
        <f t="shared" si="18"/>
        <v>3704604</v>
      </c>
      <c r="F57" s="25">
        <f t="shared" si="18"/>
        <v>283503.40000000002</v>
      </c>
      <c r="G57" s="25">
        <f t="shared" si="18"/>
        <v>4176811.4</v>
      </c>
      <c r="H57" s="25">
        <f t="shared" si="18"/>
        <v>3492163</v>
      </c>
      <c r="I57" s="25">
        <f t="shared" si="18"/>
        <v>283004</v>
      </c>
      <c r="J57" s="25">
        <f t="shared" si="18"/>
        <v>375304</v>
      </c>
      <c r="K57" s="25">
        <f t="shared" si="18"/>
        <v>3098396.96</v>
      </c>
      <c r="L57" s="25">
        <f t="shared" si="18"/>
        <v>364065</v>
      </c>
      <c r="M57" s="25">
        <f t="shared" si="18"/>
        <v>314437</v>
      </c>
      <c r="N57" s="25">
        <f t="shared" si="18"/>
        <v>3258926</v>
      </c>
      <c r="O57" s="25">
        <f t="shared" si="18"/>
        <v>285466</v>
      </c>
      <c r="P57" s="122">
        <f t="shared" si="12"/>
        <v>19915112.739999998</v>
      </c>
      <c r="Q57" s="119">
        <f>IF(SUM(D57:O57)=0, 0, AVERAGEIF(D57:O57, "&lt;&gt;0"))</f>
        <v>1659592.7283333333</v>
      </c>
      <c r="R57" s="111">
        <f t="shared" si="14"/>
        <v>6.0955550251094053E-2</v>
      </c>
    </row>
    <row r="58" spans="3:18" ht="15" hidden="1" customHeight="1" outlineLevel="1" x14ac:dyDescent="0.2">
      <c r="C58" s="31" t="s">
        <v>71</v>
      </c>
      <c r="D58" s="38">
        <v>0</v>
      </c>
      <c r="E58" s="38">
        <v>3418729</v>
      </c>
      <c r="F58" s="38">
        <v>0</v>
      </c>
      <c r="G58" s="38">
        <v>3808308</v>
      </c>
      <c r="H58" s="38">
        <v>3116359</v>
      </c>
      <c r="I58" s="38">
        <v>0</v>
      </c>
      <c r="J58" s="38">
        <v>0</v>
      </c>
      <c r="K58" s="38">
        <v>2809937</v>
      </c>
      <c r="L58" s="38">
        <v>0</v>
      </c>
      <c r="M58" s="38">
        <v>0</v>
      </c>
      <c r="N58" s="38">
        <v>2938378</v>
      </c>
      <c r="O58" s="38">
        <v>0</v>
      </c>
      <c r="P58" s="42">
        <f t="shared" si="12"/>
        <v>16091711</v>
      </c>
      <c r="Q58" s="27">
        <f t="shared" ref="Q58:Q63" si="19">IF(SUM(D58:O58)=0, 0, AVERAGEIF(D58:O58, "&lt;&gt;"))</f>
        <v>1340975.9166666667</v>
      </c>
      <c r="R58" s="28">
        <f t="shared" si="14"/>
        <v>4.9253002545974187E-2</v>
      </c>
    </row>
    <row r="59" spans="3:18" ht="15" hidden="1" customHeight="1" outlineLevel="1" x14ac:dyDescent="0.2">
      <c r="C59" s="31" t="s">
        <v>72</v>
      </c>
      <c r="D59" s="38">
        <v>278431.98</v>
      </c>
      <c r="E59" s="38">
        <v>285875</v>
      </c>
      <c r="F59" s="38">
        <v>283503.40000000002</v>
      </c>
      <c r="G59" s="38">
        <v>283503.40000000002</v>
      </c>
      <c r="H59" s="38">
        <v>283504</v>
      </c>
      <c r="I59" s="38">
        <v>283004</v>
      </c>
      <c r="J59" s="38">
        <v>283004</v>
      </c>
      <c r="K59" s="38">
        <v>288459.96000000002</v>
      </c>
      <c r="L59" s="38">
        <v>271765</v>
      </c>
      <c r="M59" s="38">
        <v>314437</v>
      </c>
      <c r="N59" s="38">
        <v>320548</v>
      </c>
      <c r="O59" s="38">
        <v>285466</v>
      </c>
      <c r="P59" s="42">
        <f t="shared" si="12"/>
        <v>3461501.74</v>
      </c>
      <c r="Q59" s="27">
        <f t="shared" si="19"/>
        <v>288458.47833333333</v>
      </c>
      <c r="R59" s="28">
        <f t="shared" si="14"/>
        <v>1.0594855575837404E-2</v>
      </c>
    </row>
    <row r="60" spans="3:18" ht="15" hidden="1" customHeight="1" outlineLevel="1" x14ac:dyDescent="0.2">
      <c r="C60" s="31" t="s">
        <v>73</v>
      </c>
      <c r="D60" s="38">
        <v>0</v>
      </c>
      <c r="E60" s="38">
        <v>0</v>
      </c>
      <c r="F60" s="38">
        <v>0</v>
      </c>
      <c r="G60" s="38">
        <v>85000</v>
      </c>
      <c r="H60" s="38">
        <v>0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  <c r="N60" s="38">
        <v>0</v>
      </c>
      <c r="O60" s="38">
        <v>0</v>
      </c>
      <c r="P60" s="42">
        <f t="shared" si="12"/>
        <v>85000</v>
      </c>
      <c r="Q60" s="27">
        <f t="shared" si="19"/>
        <v>7083.333333333333</v>
      </c>
      <c r="R60" s="28">
        <f t="shared" si="14"/>
        <v>2.601653246449558E-4</v>
      </c>
    </row>
    <row r="61" spans="3:18" ht="15" hidden="1" customHeight="1" outlineLevel="1" x14ac:dyDescent="0.2">
      <c r="C61" s="31" t="s">
        <v>74</v>
      </c>
      <c r="D61" s="38">
        <v>0</v>
      </c>
      <c r="E61" s="38">
        <v>0</v>
      </c>
      <c r="F61" s="38">
        <v>0</v>
      </c>
      <c r="G61" s="38">
        <v>0</v>
      </c>
      <c r="H61" s="38">
        <v>92300</v>
      </c>
      <c r="I61" s="38">
        <v>0</v>
      </c>
      <c r="J61" s="38">
        <v>92300</v>
      </c>
      <c r="K61" s="38">
        <v>0</v>
      </c>
      <c r="L61" s="38">
        <v>92300</v>
      </c>
      <c r="M61" s="38">
        <v>0</v>
      </c>
      <c r="N61" s="38">
        <v>0</v>
      </c>
      <c r="O61" s="38">
        <v>0</v>
      </c>
      <c r="P61" s="42">
        <f t="shared" si="12"/>
        <v>276900</v>
      </c>
      <c r="Q61" s="27">
        <f t="shared" si="19"/>
        <v>23075</v>
      </c>
      <c r="R61" s="28">
        <f t="shared" si="14"/>
        <v>8.4752680463750889E-4</v>
      </c>
    </row>
    <row r="62" spans="3:18" ht="15" hidden="1" customHeight="1" outlineLevel="1" x14ac:dyDescent="0.2">
      <c r="C62" s="31" t="s">
        <v>75</v>
      </c>
      <c r="D62" s="38">
        <v>0</v>
      </c>
      <c r="E62" s="38">
        <v>0</v>
      </c>
      <c r="F62" s="38">
        <v>0</v>
      </c>
      <c r="G62" s="38">
        <v>0</v>
      </c>
      <c r="H62" s="38">
        <v>0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38">
        <v>0</v>
      </c>
      <c r="P62" s="42">
        <f t="shared" si="12"/>
        <v>0</v>
      </c>
      <c r="Q62" s="27">
        <f t="shared" si="19"/>
        <v>0</v>
      </c>
      <c r="R62" s="28">
        <f t="shared" si="14"/>
        <v>0</v>
      </c>
    </row>
    <row r="63" spans="3:18" ht="15" hidden="1" customHeight="1" outlineLevel="1" x14ac:dyDescent="0.2">
      <c r="C63" s="31" t="s">
        <v>76</v>
      </c>
      <c r="D63" s="38">
        <v>0</v>
      </c>
      <c r="E63" s="38">
        <v>0</v>
      </c>
      <c r="F63" s="38">
        <v>0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42">
        <f t="shared" si="12"/>
        <v>0</v>
      </c>
      <c r="Q63" s="27">
        <f t="shared" si="19"/>
        <v>0</v>
      </c>
      <c r="R63" s="28">
        <f t="shared" si="14"/>
        <v>0</v>
      </c>
    </row>
    <row r="64" spans="3:18" ht="27.75" customHeight="1" x14ac:dyDescent="0.2">
      <c r="C64" s="43" t="s">
        <v>77</v>
      </c>
      <c r="D64" s="44">
        <f t="shared" ref="D64:O64" si="20">D3-D14</f>
        <v>8607768</v>
      </c>
      <c r="E64" s="44">
        <f t="shared" si="20"/>
        <v>1866644.5700000003</v>
      </c>
      <c r="F64" s="44">
        <f t="shared" si="20"/>
        <v>7888750.950000003</v>
      </c>
      <c r="G64" s="44">
        <f t="shared" si="20"/>
        <v>7401159.4199999981</v>
      </c>
      <c r="H64" s="44">
        <f t="shared" si="20"/>
        <v>3680274.3000000007</v>
      </c>
      <c r="I64" s="44">
        <f t="shared" si="20"/>
        <v>3931234.0399999991</v>
      </c>
      <c r="J64" s="44">
        <f t="shared" si="20"/>
        <v>7981225.4139999989</v>
      </c>
      <c r="K64" s="44">
        <f t="shared" si="20"/>
        <v>5002326.231999997</v>
      </c>
      <c r="L64" s="44">
        <f t="shared" si="20"/>
        <v>6303173.2159999944</v>
      </c>
      <c r="M64" s="44">
        <f t="shared" si="20"/>
        <v>13241119.267999999</v>
      </c>
      <c r="N64" s="44">
        <f t="shared" si="20"/>
        <v>8174377.3839999959</v>
      </c>
      <c r="O64" s="44">
        <f t="shared" si="20"/>
        <v>5720859.2320000008</v>
      </c>
      <c r="P64" s="44">
        <f t="shared" si="12"/>
        <v>79798912.025999993</v>
      </c>
      <c r="Q64" s="45">
        <f t="shared" ref="Q64:Q70" si="21">IF(SUM(D64:O64)=0, 0, AVERAGEIF(D64:O64, "&lt;&gt;0"))</f>
        <v>6649909.3354999991</v>
      </c>
      <c r="R64" s="46">
        <f t="shared" si="14"/>
        <v>0.24424599827715945</v>
      </c>
    </row>
    <row r="65" spans="3:18" ht="15" customHeight="1" x14ac:dyDescent="0.2">
      <c r="C65" s="43" t="s">
        <v>78</v>
      </c>
      <c r="D65" s="44">
        <f t="shared" ref="D65:O65" si="22">D3-D8</f>
        <v>8607768</v>
      </c>
      <c r="E65" s="44">
        <f t="shared" si="22"/>
        <v>1118364.5700000003</v>
      </c>
      <c r="F65" s="44">
        <f t="shared" si="22"/>
        <v>7488750.950000003</v>
      </c>
      <c r="G65" s="44">
        <f t="shared" si="22"/>
        <v>7401159.4199999981</v>
      </c>
      <c r="H65" s="44">
        <f t="shared" si="22"/>
        <v>2480274.3000000007</v>
      </c>
      <c r="I65" s="44">
        <f t="shared" si="22"/>
        <v>3453234.0399999991</v>
      </c>
      <c r="J65" s="44">
        <f t="shared" si="22"/>
        <v>7981225.4139999989</v>
      </c>
      <c r="K65" s="44">
        <f t="shared" si="22"/>
        <v>5002326.231999997</v>
      </c>
      <c r="L65" s="44">
        <f t="shared" si="22"/>
        <v>6093473.2159999944</v>
      </c>
      <c r="M65" s="44">
        <f t="shared" si="22"/>
        <v>10541119.267999999</v>
      </c>
      <c r="N65" s="44">
        <f t="shared" si="22"/>
        <v>8119377.3839999959</v>
      </c>
      <c r="O65" s="44">
        <f t="shared" si="22"/>
        <v>5720859.2320000008</v>
      </c>
      <c r="P65" s="44">
        <f t="shared" si="12"/>
        <v>74007932.025999993</v>
      </c>
      <c r="Q65" s="45">
        <f t="shared" si="21"/>
        <v>6167327.6688333331</v>
      </c>
      <c r="R65" s="46">
        <f t="shared" si="14"/>
        <v>0.22652114896289538</v>
      </c>
    </row>
    <row r="66" spans="3:18" ht="15" customHeight="1" x14ac:dyDescent="0.2">
      <c r="C66" s="47" t="s">
        <v>79</v>
      </c>
      <c r="D66" s="48">
        <f t="shared" ref="D66:P66" si="23">IF(D3=0, 0, D64/D3)</f>
        <v>0.30369149108691018</v>
      </c>
      <c r="E66" s="48">
        <f t="shared" si="23"/>
        <v>7.4303573683294585E-2</v>
      </c>
      <c r="F66" s="48">
        <f t="shared" si="23"/>
        <v>0.28860000397299412</v>
      </c>
      <c r="G66" s="48">
        <f t="shared" si="23"/>
        <v>0.28122830017588446</v>
      </c>
      <c r="H66" s="48">
        <f t="shared" si="23"/>
        <v>0.13973860121757931</v>
      </c>
      <c r="I66" s="48">
        <f t="shared" si="23"/>
        <v>0.18663497051974431</v>
      </c>
      <c r="J66" s="48">
        <f t="shared" si="23"/>
        <v>0.3226043782430757</v>
      </c>
      <c r="K66" s="48">
        <f t="shared" si="23"/>
        <v>0.19766541906378299</v>
      </c>
      <c r="L66" s="48">
        <f t="shared" si="23"/>
        <v>0.2360701420135424</v>
      </c>
      <c r="M66" s="48">
        <f t="shared" si="23"/>
        <v>0.42654852601977494</v>
      </c>
      <c r="N66" s="48">
        <f t="shared" si="23"/>
        <v>0.26231478769114092</v>
      </c>
      <c r="O66" s="48">
        <f t="shared" si="23"/>
        <v>0.17208247282961156</v>
      </c>
      <c r="P66" s="48">
        <f t="shared" si="23"/>
        <v>0.24424599827715945</v>
      </c>
      <c r="Q66" s="49">
        <f t="shared" si="21"/>
        <v>0.24095688887644462</v>
      </c>
      <c r="R66" s="46"/>
    </row>
    <row r="67" spans="3:18" ht="15" customHeight="1" x14ac:dyDescent="0.2">
      <c r="C67" s="47" t="s">
        <v>80</v>
      </c>
      <c r="D67" s="48">
        <f t="shared" ref="D67:P67" si="24">IF(D3=0, 0, D23/D3)</f>
        <v>0.30101967272161423</v>
      </c>
      <c r="E67" s="48">
        <f t="shared" si="24"/>
        <v>0.38059993747280263</v>
      </c>
      <c r="F67" s="48">
        <f t="shared" si="24"/>
        <v>0.30143276188679752</v>
      </c>
      <c r="G67" s="48">
        <f t="shared" si="24"/>
        <v>0.17077504333277199</v>
      </c>
      <c r="H67" s="48">
        <f t="shared" si="24"/>
        <v>0.29647593402217304</v>
      </c>
      <c r="I67" s="48">
        <f t="shared" si="24"/>
        <v>0.30320334276517308</v>
      </c>
      <c r="J67" s="48">
        <f t="shared" si="24"/>
        <v>0.27542993307197122</v>
      </c>
      <c r="K67" s="48">
        <f t="shared" si="24"/>
        <v>0.25018511688475842</v>
      </c>
      <c r="L67" s="48">
        <f t="shared" si="24"/>
        <v>0.33987917810478036</v>
      </c>
      <c r="M67" s="48">
        <f t="shared" si="24"/>
        <v>0.19962920958022906</v>
      </c>
      <c r="N67" s="48">
        <f t="shared" si="24"/>
        <v>0.2640991289632133</v>
      </c>
      <c r="O67" s="48">
        <f t="shared" si="24"/>
        <v>0.35050645770633931</v>
      </c>
      <c r="P67" s="48">
        <f t="shared" si="24"/>
        <v>0.28563742058184116</v>
      </c>
      <c r="Q67" s="49">
        <f t="shared" si="21"/>
        <v>0.28610297637605203</v>
      </c>
      <c r="R67" s="46"/>
    </row>
    <row r="68" spans="3:18" ht="15" customHeight="1" outlineLevel="1" x14ac:dyDescent="0.2">
      <c r="C68" s="50" t="s">
        <v>18</v>
      </c>
      <c r="D68" s="51">
        <f t="shared" ref="D68:P68" si="25">IF(D4=0, 0, D24/D4)</f>
        <v>0.26733432794752221</v>
      </c>
      <c r="E68" s="51">
        <f t="shared" si="25"/>
        <v>0.59455439648724939</v>
      </c>
      <c r="F68" s="51">
        <f t="shared" si="25"/>
        <v>0.38258448999618505</v>
      </c>
      <c r="G68" s="51">
        <f t="shared" si="25"/>
        <v>0.32751425917076749</v>
      </c>
      <c r="H68" s="51">
        <f t="shared" si="25"/>
        <v>0.40648309898865814</v>
      </c>
      <c r="I68" s="51">
        <f t="shared" si="25"/>
        <v>0.31322601326700816</v>
      </c>
      <c r="J68" s="51">
        <f t="shared" si="25"/>
        <v>0.33446190350133026</v>
      </c>
      <c r="K68" s="51">
        <f t="shared" si="25"/>
        <v>0.24769239242631994</v>
      </c>
      <c r="L68" s="51">
        <f t="shared" si="25"/>
        <v>0.42207094071955853</v>
      </c>
      <c r="M68" s="51">
        <f t="shared" si="25"/>
        <v>0.2082643530277688</v>
      </c>
      <c r="N68" s="51">
        <f t="shared" si="25"/>
        <v>0.30367556483271041</v>
      </c>
      <c r="O68" s="51">
        <f t="shared" si="25"/>
        <v>0.41035050433529857</v>
      </c>
      <c r="P68" s="51">
        <f t="shared" si="25"/>
        <v>0.35025749553867991</v>
      </c>
      <c r="Q68" s="49">
        <f t="shared" si="21"/>
        <v>0.35151768705836473</v>
      </c>
      <c r="R68" s="52"/>
    </row>
    <row r="69" spans="3:18" ht="15" customHeight="1" outlineLevel="1" x14ac:dyDescent="0.2">
      <c r="C69" s="50" t="s">
        <v>19</v>
      </c>
      <c r="D69" s="51">
        <f t="shared" ref="D69:P69" si="26">IF(D5=0, 0, D25/D5)</f>
        <v>0.46715921224071416</v>
      </c>
      <c r="E69" s="51">
        <f t="shared" si="26"/>
        <v>0.3858503624862033</v>
      </c>
      <c r="F69" s="51">
        <f t="shared" si="26"/>
        <v>0.33902733558329157</v>
      </c>
      <c r="G69" s="51">
        <f t="shared" si="26"/>
        <v>2.3957319565169846E-2</v>
      </c>
      <c r="H69" s="51">
        <f t="shared" si="26"/>
        <v>0.30986893395294679</v>
      </c>
      <c r="I69" s="51">
        <f t="shared" si="26"/>
        <v>0.398443960507603</v>
      </c>
      <c r="J69" s="51">
        <f t="shared" si="26"/>
        <v>0.32018690094601648</v>
      </c>
      <c r="K69" s="51">
        <f t="shared" si="26"/>
        <v>0.25299398541956614</v>
      </c>
      <c r="L69" s="51">
        <f t="shared" si="26"/>
        <v>0.3874922351097187</v>
      </c>
      <c r="M69" s="51">
        <f t="shared" si="26"/>
        <v>0.22739768358623588</v>
      </c>
      <c r="N69" s="51">
        <f t="shared" si="26"/>
        <v>0.34169533766560234</v>
      </c>
      <c r="O69" s="51">
        <f t="shared" si="26"/>
        <v>0.47493150886179525</v>
      </c>
      <c r="P69" s="51">
        <f t="shared" si="26"/>
        <v>0.33072986781887503</v>
      </c>
      <c r="Q69" s="49">
        <f t="shared" si="21"/>
        <v>0.32741706466040527</v>
      </c>
      <c r="R69" s="52"/>
    </row>
    <row r="70" spans="3:18" ht="15" customHeight="1" outlineLevel="1" x14ac:dyDescent="0.2">
      <c r="C70" s="50" t="s">
        <v>20</v>
      </c>
      <c r="D70" s="51">
        <f t="shared" ref="D70:P70" si="27">IF(D6=0, 0, D26/D6)</f>
        <v>0.12544206365716662</v>
      </c>
      <c r="E70" s="51">
        <f t="shared" si="27"/>
        <v>0.16620147788770195</v>
      </c>
      <c r="F70" s="51">
        <f t="shared" si="27"/>
        <v>0.17161462465692237</v>
      </c>
      <c r="G70" s="51">
        <f t="shared" si="27"/>
        <v>0.17160609146844888</v>
      </c>
      <c r="H70" s="51">
        <f t="shared" si="27"/>
        <v>0.18056642433438272</v>
      </c>
      <c r="I70" s="51">
        <f t="shared" si="27"/>
        <v>0.18439635780864841</v>
      </c>
      <c r="J70" s="129">
        <f t="shared" si="27"/>
        <v>0.17174689904839952</v>
      </c>
      <c r="K70" s="51">
        <f t="shared" si="27"/>
        <v>0.24922905818714927</v>
      </c>
      <c r="L70" s="51">
        <f t="shared" si="27"/>
        <v>0.20040421896745814</v>
      </c>
      <c r="M70" s="129">
        <f t="shared" si="27"/>
        <v>0.15930780757608193</v>
      </c>
      <c r="N70" s="51">
        <f t="shared" si="27"/>
        <v>0.12788924806456928</v>
      </c>
      <c r="O70" s="51">
        <f t="shared" si="27"/>
        <v>0.15191129007288057</v>
      </c>
      <c r="P70" s="51">
        <f t="shared" si="27"/>
        <v>0.16989869540179983</v>
      </c>
      <c r="Q70" s="49">
        <f t="shared" si="21"/>
        <v>0.17169296347748411</v>
      </c>
      <c r="R70" s="52"/>
    </row>
    <row r="71" spans="3:18" ht="15" customHeight="1" x14ac:dyDescent="0.2">
      <c r="C71" s="47" t="s">
        <v>81</v>
      </c>
      <c r="D71" s="44">
        <f>PnL_2023!O37+PnL_2025!D67</f>
        <v>56007701.763999999</v>
      </c>
      <c r="E71" s="44">
        <f t="shared" ref="E71:O71" si="28">D71+E65</f>
        <v>57126066.333999999</v>
      </c>
      <c r="F71" s="44">
        <f t="shared" si="28"/>
        <v>64614817.284000002</v>
      </c>
      <c r="G71" s="44">
        <f t="shared" si="28"/>
        <v>72015976.703999996</v>
      </c>
      <c r="H71" s="44">
        <f t="shared" si="28"/>
        <v>74496251.003999993</v>
      </c>
      <c r="I71" s="44">
        <f t="shared" si="28"/>
        <v>77949485.044</v>
      </c>
      <c r="J71" s="44">
        <f t="shared" si="28"/>
        <v>85930710.458000004</v>
      </c>
      <c r="K71" s="44">
        <f t="shared" si="28"/>
        <v>90933036.689999998</v>
      </c>
      <c r="L71" s="44">
        <f t="shared" si="28"/>
        <v>97026509.905999988</v>
      </c>
      <c r="M71" s="44">
        <f t="shared" si="28"/>
        <v>107567629.17399999</v>
      </c>
      <c r="N71" s="44">
        <f t="shared" si="28"/>
        <v>115687006.558</v>
      </c>
      <c r="O71" s="44">
        <f t="shared" si="28"/>
        <v>121407865.78999999</v>
      </c>
      <c r="P71" s="44"/>
      <c r="Q71" s="53"/>
      <c r="R71" s="54"/>
    </row>
  </sheetData>
  <sheetProtection algorithmName="SHA-512" hashValue="ek7f9QmEgUc9MFQmUqYirmoKr794EgObmxe3DHwlVfWwCajpF1oE8G4CoOj/Mk7hpAWwAU16qrHABlbtAAeSUQ==" saltValue="uQd1YPCb8O0srcv9wqjl7A==" spinCount="100000" sheet="1" formatCells="0" formatColumns="0" formatRows="0"/>
  <pageMargins left="0.7" right="0.7" top="0.75" bottom="0.75" header="0.511811023622047" footer="0.3"/>
  <pageSetup orientation="portrait" horizontalDpi="300" verticalDpi="300"/>
  <headerFooter>
    <oddFooter>&amp;C&amp;10 _x005F_x000d_# Schlumberger-Private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C1:S73"/>
  <sheetViews>
    <sheetView tabSelected="1" topLeftCell="B1" zoomScale="182" zoomScaleNormal="140" workbookViewId="0">
      <pane xSplit="2" topLeftCell="N1" activePane="topRight" state="frozen"/>
      <selection activeCell="B1" sqref="B1"/>
      <selection pane="topRight" activeCell="B72" sqref="A72:XFD72"/>
    </sheetView>
  </sheetViews>
  <sheetFormatPr baseColWidth="10" defaultColWidth="8.83203125" defaultRowHeight="15" customHeight="1" outlineLevelRow="1" x14ac:dyDescent="0.2"/>
  <cols>
    <col min="1" max="1" width="8.83203125" style="1"/>
    <col min="2" max="2" width="5.83203125" style="1" customWidth="1"/>
    <col min="3" max="3" width="30.83203125" style="1" customWidth="1"/>
    <col min="4" max="15" width="14.83203125" style="1" customWidth="1"/>
    <col min="16" max="17" width="14.83203125" style="2" customWidth="1"/>
    <col min="18" max="18" width="14.83203125" style="1" customWidth="1"/>
    <col min="19" max="16384" width="8.83203125" style="1"/>
  </cols>
  <sheetData>
    <row r="1" spans="3:19" ht="15" customHeight="1" x14ac:dyDescent="0.2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 t="s">
        <v>0</v>
      </c>
      <c r="Q1" s="4"/>
    </row>
    <row r="2" spans="3:19" ht="30" customHeight="1" x14ac:dyDescent="0.2">
      <c r="C2" s="5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</row>
    <row r="3" spans="3:19" ht="15" customHeight="1" x14ac:dyDescent="0.2">
      <c r="C3" s="7" t="s">
        <v>17</v>
      </c>
      <c r="D3" s="8">
        <f t="shared" ref="D3:O3" si="0">SUM(D4:D7)</f>
        <v>32534731.600000001</v>
      </c>
      <c r="E3" s="8">
        <f t="shared" si="0"/>
        <v>27647414.5</v>
      </c>
      <c r="F3" s="8">
        <f t="shared" si="0"/>
        <v>24543988.800000001</v>
      </c>
      <c r="G3" s="8">
        <f t="shared" si="0"/>
        <v>26300722.600000001</v>
      </c>
      <c r="H3" s="8">
        <f t="shared" si="0"/>
        <v>28892491.399999999</v>
      </c>
      <c r="I3" s="8">
        <f t="shared" si="0"/>
        <v>26206929.75</v>
      </c>
      <c r="J3" s="8">
        <f t="shared" si="0"/>
        <v>28953331.949999999</v>
      </c>
      <c r="K3" s="8">
        <f t="shared" si="0"/>
        <v>25754519.600000001</v>
      </c>
      <c r="L3" s="8">
        <f t="shared" si="0"/>
        <v>27392754.600000001</v>
      </c>
      <c r="M3" s="8">
        <f t="shared" si="0"/>
        <v>30177923.460000001</v>
      </c>
      <c r="N3" s="8">
        <f t="shared" si="0"/>
        <v>26390216.050000001</v>
      </c>
      <c r="O3" s="8">
        <f t="shared" si="0"/>
        <v>33602445.399999999</v>
      </c>
      <c r="P3" s="9">
        <f t="shared" ref="P3:P36" si="1">SUM(D3:O3)</f>
        <v>338397469.70999998</v>
      </c>
      <c r="Q3" s="9">
        <f>IF(SUM(D3:O3)=0, 0, AVERAGEIF(D3:O3, "&lt;&gt;0"))</f>
        <v>28199789.142499998</v>
      </c>
      <c r="R3" s="10">
        <v>1</v>
      </c>
    </row>
    <row r="4" spans="3:19" ht="15" customHeight="1" x14ac:dyDescent="0.2">
      <c r="C4" s="11" t="s">
        <v>18</v>
      </c>
      <c r="D4" s="12">
        <v>9356429</v>
      </c>
      <c r="E4" s="12">
        <v>8042744</v>
      </c>
      <c r="F4" s="12">
        <v>7443311</v>
      </c>
      <c r="G4" s="12">
        <v>7646976</v>
      </c>
      <c r="H4" s="12">
        <v>7740241</v>
      </c>
      <c r="I4" s="12">
        <v>6980136</v>
      </c>
      <c r="J4" s="12">
        <v>7240221</v>
      </c>
      <c r="K4" s="12">
        <v>6208856</v>
      </c>
      <c r="L4" s="12">
        <v>7007159</v>
      </c>
      <c r="M4" s="12">
        <v>7526069</v>
      </c>
      <c r="N4" s="12">
        <v>7044825</v>
      </c>
      <c r="O4" s="12">
        <v>9112569</v>
      </c>
      <c r="P4" s="13">
        <f t="shared" si="1"/>
        <v>91349536</v>
      </c>
      <c r="Q4" s="14">
        <f>IF(SUM(D2:O4)=0, 0, AVERAGEIF(D4:O4, "&lt;&gt;"))</f>
        <v>7612461.333333333</v>
      </c>
      <c r="R4" s="15">
        <f t="shared" ref="R4:R37" si="2">IF(P$3=0, 0, P4/P$3)</f>
        <v>0.26994745580776586</v>
      </c>
    </row>
    <row r="5" spans="3:19" ht="15" customHeight="1" x14ac:dyDescent="0.2">
      <c r="C5" s="11" t="s">
        <v>19</v>
      </c>
      <c r="D5" s="12">
        <v>12236652.6</v>
      </c>
      <c r="E5" s="12">
        <v>10276070.5</v>
      </c>
      <c r="F5" s="12">
        <v>7923177.7999999998</v>
      </c>
      <c r="G5" s="12">
        <v>9905696.5999999996</v>
      </c>
      <c r="H5" s="12">
        <v>11367250.4</v>
      </c>
      <c r="I5" s="12">
        <v>9589993.75</v>
      </c>
      <c r="J5" s="12">
        <v>11174960.949999999</v>
      </c>
      <c r="K5" s="12">
        <v>9704863.5999999996</v>
      </c>
      <c r="L5" s="12">
        <v>10777895.6</v>
      </c>
      <c r="M5" s="12">
        <v>13143154.460000001</v>
      </c>
      <c r="N5" s="12">
        <v>11036041.050000001</v>
      </c>
      <c r="O5" s="12">
        <v>14892276.399999999</v>
      </c>
      <c r="P5" s="13">
        <f t="shared" si="1"/>
        <v>132028033.70999998</v>
      </c>
      <c r="Q5" s="14">
        <f>IF(SUM(D3:O5)=0, 0, AVERAGEIF(D5:O5, "&lt;&gt;"))</f>
        <v>11002336.142499998</v>
      </c>
      <c r="R5" s="15">
        <f t="shared" si="2"/>
        <v>0.39015668120434066</v>
      </c>
    </row>
    <row r="6" spans="3:19" ht="15" customHeight="1" x14ac:dyDescent="0.2">
      <c r="C6" s="11" t="s">
        <v>20</v>
      </c>
      <c r="D6" s="12">
        <v>10941650</v>
      </c>
      <c r="E6" s="12">
        <v>9328600</v>
      </c>
      <c r="F6" s="12">
        <v>9177500</v>
      </c>
      <c r="G6" s="12">
        <v>8748050</v>
      </c>
      <c r="H6" s="12">
        <v>9785000</v>
      </c>
      <c r="I6" s="12">
        <v>9636800</v>
      </c>
      <c r="J6" s="12">
        <v>10538150</v>
      </c>
      <c r="K6" s="12">
        <v>9840800</v>
      </c>
      <c r="L6" s="12">
        <v>9607700</v>
      </c>
      <c r="M6" s="12">
        <v>9508700</v>
      </c>
      <c r="N6" s="12">
        <v>8309350</v>
      </c>
      <c r="O6" s="12">
        <v>9597600</v>
      </c>
      <c r="P6" s="13">
        <f t="shared" si="1"/>
        <v>115019900</v>
      </c>
      <c r="Q6" s="14">
        <f>IF(SUM(D4:O6)=0, 0, AVERAGEIF(D6:O6, "&lt;&gt;"))</f>
        <v>9584991.666666666</v>
      </c>
      <c r="R6" s="15">
        <f t="shared" si="2"/>
        <v>0.33989586298789354</v>
      </c>
    </row>
    <row r="7" spans="3:19" ht="15" customHeight="1" x14ac:dyDescent="0.2">
      <c r="C7" s="11" t="s">
        <v>21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3">
        <f t="shared" si="1"/>
        <v>0</v>
      </c>
      <c r="Q7" s="14">
        <f>IF(SUM(D5:O7)=0, 0, AVERAGEIF(D7:O7, "&lt;&gt;"))</f>
        <v>0</v>
      </c>
      <c r="R7" s="15">
        <f t="shared" si="2"/>
        <v>0</v>
      </c>
    </row>
    <row r="8" spans="3:19" ht="15" customHeight="1" x14ac:dyDescent="0.2">
      <c r="C8" s="16" t="s">
        <v>22</v>
      </c>
      <c r="D8" s="17">
        <f>SUM(D9, D14)</f>
        <v>21659193.296</v>
      </c>
      <c r="E8" s="17">
        <f t="shared" ref="E8:O8" si="3">SUM(E9,E14)</f>
        <v>24688972.569999997</v>
      </c>
      <c r="F8" s="17">
        <f t="shared" si="3"/>
        <v>15887370.658</v>
      </c>
      <c r="G8" s="17">
        <f t="shared" si="3"/>
        <v>19152302.706</v>
      </c>
      <c r="H8" s="17">
        <f t="shared" si="3"/>
        <v>24984631.434</v>
      </c>
      <c r="I8" s="17">
        <f t="shared" si="3"/>
        <v>19854320.234999999</v>
      </c>
      <c r="J8" s="17">
        <f t="shared" si="3"/>
        <v>20433745.077</v>
      </c>
      <c r="K8" s="17">
        <f t="shared" si="3"/>
        <v>24312446.335999999</v>
      </c>
      <c r="L8" s="17">
        <f t="shared" si="3"/>
        <v>20515839.646000002</v>
      </c>
      <c r="M8" s="17">
        <f t="shared" si="3"/>
        <v>22201884.469599999</v>
      </c>
      <c r="N8" s="17">
        <f t="shared" si="3"/>
        <v>22396029.333000001</v>
      </c>
      <c r="O8" s="17">
        <f t="shared" si="3"/>
        <v>32287645.744000003</v>
      </c>
      <c r="P8" s="17">
        <f t="shared" si="1"/>
        <v>268374381.50459999</v>
      </c>
      <c r="Q8" s="18">
        <f>IF(SUM(D8:O8)=0, 0, AVERAGEIF(D8:O8, "&lt;&gt;0"))</f>
        <v>22364531.79205</v>
      </c>
      <c r="R8" s="19">
        <f t="shared" si="2"/>
        <v>0.79307443325327343</v>
      </c>
    </row>
    <row r="9" spans="3:19" ht="15" customHeight="1" collapsed="1" x14ac:dyDescent="0.2">
      <c r="C9" s="20" t="s">
        <v>23</v>
      </c>
      <c r="D9" s="21">
        <f t="shared" ref="D9:O9" si="4">SUM(D10:D13)</f>
        <v>0</v>
      </c>
      <c r="E9" s="21">
        <f t="shared" si="4"/>
        <v>0</v>
      </c>
      <c r="F9" s="21">
        <f t="shared" si="4"/>
        <v>0</v>
      </c>
      <c r="G9" s="21">
        <f t="shared" si="4"/>
        <v>0</v>
      </c>
      <c r="H9" s="21">
        <f t="shared" si="4"/>
        <v>0</v>
      </c>
      <c r="I9" s="21">
        <f t="shared" si="4"/>
        <v>580027</v>
      </c>
      <c r="J9" s="21">
        <f t="shared" si="4"/>
        <v>0</v>
      </c>
      <c r="K9" s="21">
        <f t="shared" si="4"/>
        <v>800000</v>
      </c>
      <c r="L9" s="21">
        <f t="shared" si="4"/>
        <v>1302400</v>
      </c>
      <c r="M9" s="21">
        <f t="shared" si="4"/>
        <v>180000</v>
      </c>
      <c r="N9" s="21">
        <f t="shared" si="4"/>
        <v>0</v>
      </c>
      <c r="O9" s="21">
        <f t="shared" si="4"/>
        <v>100000</v>
      </c>
      <c r="P9" s="21">
        <f t="shared" si="1"/>
        <v>2962427</v>
      </c>
      <c r="Q9" s="22">
        <f>IF(SUM(D9:O9)=0, 0, AVERAGEIF(D9:O9, "&lt;&gt;0"))</f>
        <v>592485.4</v>
      </c>
      <c r="R9" s="23">
        <f t="shared" si="2"/>
        <v>8.7542823607361549E-3</v>
      </c>
    </row>
    <row r="10" spans="3:19" ht="15" hidden="1" customHeight="1" outlineLevel="1" x14ac:dyDescent="0.2">
      <c r="C10" s="24" t="s">
        <v>24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6">
        <f t="shared" si="1"/>
        <v>0</v>
      </c>
      <c r="Q10" s="27">
        <f>IF(SUM(D10:O10)=0, 0, AVERAGEIF(D10:O10, "&lt;&gt;"))</f>
        <v>0</v>
      </c>
      <c r="R10" s="28">
        <f t="shared" si="2"/>
        <v>0</v>
      </c>
    </row>
    <row r="11" spans="3:19" ht="15" hidden="1" customHeight="1" outlineLevel="1" x14ac:dyDescent="0.2">
      <c r="C11" s="24" t="s">
        <v>25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800000</v>
      </c>
      <c r="L11" s="25">
        <f>813400+156000</f>
        <v>969400</v>
      </c>
      <c r="M11" s="25">
        <v>180000</v>
      </c>
      <c r="N11" s="25">
        <v>0</v>
      </c>
      <c r="O11" s="25">
        <v>100000</v>
      </c>
      <c r="P11" s="26">
        <f t="shared" si="1"/>
        <v>2049400</v>
      </c>
      <c r="Q11" s="27">
        <f>IF(SUM(D11:O11)=0, 0, AVERAGEIF(D11:O11, "&lt;&gt;"))</f>
        <v>170783.33333333334</v>
      </c>
      <c r="R11" s="28">
        <f t="shared" si="2"/>
        <v>6.0561918555605511E-3</v>
      </c>
    </row>
    <row r="12" spans="3:19" ht="15" hidden="1" customHeight="1" outlineLevel="1" x14ac:dyDescent="0.2">
      <c r="C12" s="24" t="s">
        <v>26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580027</v>
      </c>
      <c r="J12" s="25">
        <v>0</v>
      </c>
      <c r="K12" s="25">
        <v>0</v>
      </c>
      <c r="L12" s="25">
        <v>333000</v>
      </c>
      <c r="M12" s="25">
        <v>0</v>
      </c>
      <c r="N12" s="25">
        <v>0</v>
      </c>
      <c r="O12" s="25">
        <v>0</v>
      </c>
      <c r="P12" s="26">
        <f t="shared" si="1"/>
        <v>913027</v>
      </c>
      <c r="Q12" s="27">
        <f>IF(SUM(D12:O12)=0, 0, AVERAGEIF(D12:O12, "&lt;&gt;"))</f>
        <v>76085.583333333328</v>
      </c>
      <c r="R12" s="28">
        <f t="shared" si="2"/>
        <v>2.6980905051756038E-3</v>
      </c>
    </row>
    <row r="13" spans="3:19" ht="15" hidden="1" customHeight="1" outlineLevel="1" x14ac:dyDescent="0.2">
      <c r="C13" s="24" t="s">
        <v>27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6">
        <f t="shared" si="1"/>
        <v>0</v>
      </c>
      <c r="Q13" s="27">
        <f>IF(SUM(D13:O13)=0, 0, AVERAGEIF(D13:O13, "&lt;&gt;"))</f>
        <v>0</v>
      </c>
      <c r="R13" s="28">
        <f t="shared" si="2"/>
        <v>0</v>
      </c>
    </row>
    <row r="14" spans="3:19" ht="14.25" customHeight="1" x14ac:dyDescent="0.2">
      <c r="C14" s="20" t="s">
        <v>28</v>
      </c>
      <c r="D14" s="21">
        <f t="shared" ref="D14:O14" si="5">SUM(D15, D23, D27, D34, D38, D46, D59)</f>
        <v>21659193.296</v>
      </c>
      <c r="E14" s="21">
        <f t="shared" si="5"/>
        <v>24688972.569999997</v>
      </c>
      <c r="F14" s="21">
        <f t="shared" si="5"/>
        <v>15887370.658</v>
      </c>
      <c r="G14" s="21">
        <f t="shared" si="5"/>
        <v>19152302.706</v>
      </c>
      <c r="H14" s="21">
        <f t="shared" si="5"/>
        <v>24984631.434</v>
      </c>
      <c r="I14" s="21">
        <f t="shared" si="5"/>
        <v>19274293.234999999</v>
      </c>
      <c r="J14" s="21">
        <f t="shared" si="5"/>
        <v>20433745.077</v>
      </c>
      <c r="K14" s="21">
        <f t="shared" si="5"/>
        <v>23512446.335999999</v>
      </c>
      <c r="L14" s="21">
        <f t="shared" si="5"/>
        <v>19213439.646000002</v>
      </c>
      <c r="M14" s="21">
        <f t="shared" si="5"/>
        <v>22021884.469599999</v>
      </c>
      <c r="N14" s="21">
        <f t="shared" si="5"/>
        <v>22396029.333000001</v>
      </c>
      <c r="O14" s="21">
        <f t="shared" si="5"/>
        <v>32187645.744000003</v>
      </c>
      <c r="P14" s="21">
        <f t="shared" si="1"/>
        <v>265411954.50459999</v>
      </c>
      <c r="Q14" s="22">
        <f>IF(SUM(D14:O14)=0, 0, AVERAGEIF(D14:O14, "&lt;&gt;0"))</f>
        <v>22117662.875383332</v>
      </c>
      <c r="R14" s="23">
        <f t="shared" si="2"/>
        <v>0.78432015089253726</v>
      </c>
    </row>
    <row r="15" spans="3:19" ht="15" customHeight="1" collapsed="1" x14ac:dyDescent="0.2">
      <c r="C15" s="29" t="s">
        <v>29</v>
      </c>
      <c r="D15" s="26">
        <f t="shared" ref="D15:O15" si="6">SUM(D16:D22)</f>
        <v>8459030.216</v>
      </c>
      <c r="E15" s="26">
        <f t="shared" si="6"/>
        <v>7188327.7700000005</v>
      </c>
      <c r="F15" s="26">
        <f t="shared" si="6"/>
        <v>6381437.0880000005</v>
      </c>
      <c r="G15" s="26">
        <f t="shared" si="6"/>
        <v>6838187.8760000002</v>
      </c>
      <c r="H15" s="26">
        <f t="shared" si="6"/>
        <v>7512047.7639999995</v>
      </c>
      <c r="I15" s="26">
        <f t="shared" si="6"/>
        <v>6813801.7350000003</v>
      </c>
      <c r="J15" s="26">
        <f t="shared" si="6"/>
        <v>7527866.307</v>
      </c>
      <c r="K15" s="26">
        <f t="shared" si="6"/>
        <v>6696175.0960000008</v>
      </c>
      <c r="L15" s="26">
        <f t="shared" si="6"/>
        <v>7122116.1960000005</v>
      </c>
      <c r="M15" s="26">
        <f t="shared" si="6"/>
        <v>7846260.0996000003</v>
      </c>
      <c r="N15" s="26">
        <f t="shared" si="6"/>
        <v>6861456.1730000004</v>
      </c>
      <c r="O15" s="26">
        <f t="shared" si="6"/>
        <v>8736635.8039999995</v>
      </c>
      <c r="P15" s="26">
        <f t="shared" si="1"/>
        <v>87983342.124600008</v>
      </c>
      <c r="Q15" s="27">
        <f>IF(SUM(D15:O15)=0, 0, AVERAGEIF(D15:O15, "&lt;&gt;0"))</f>
        <v>7331945.177050001</v>
      </c>
      <c r="R15" s="28">
        <f t="shared" si="2"/>
        <v>0.26000000000000006</v>
      </c>
      <c r="S15" s="30"/>
    </row>
    <row r="16" spans="3:19" ht="15" hidden="1" customHeight="1" outlineLevel="1" x14ac:dyDescent="0.2">
      <c r="C16" s="31" t="s">
        <v>30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26">
        <f t="shared" si="1"/>
        <v>0</v>
      </c>
      <c r="Q16" s="27">
        <f>IF(SUM(D16:O16)=0, 0, AVERAGEIF(D16:O16, "&lt;&gt;0"))</f>
        <v>0</v>
      </c>
      <c r="R16" s="28">
        <f t="shared" si="2"/>
        <v>0</v>
      </c>
      <c r="S16" s="30"/>
    </row>
    <row r="17" spans="3:19" ht="15" hidden="1" customHeight="1" outlineLevel="1" x14ac:dyDescent="0.2">
      <c r="C17" s="31" t="s">
        <v>31</v>
      </c>
      <c r="D17" s="32"/>
      <c r="E17" s="33"/>
      <c r="F17" s="33"/>
      <c r="G17" s="33"/>
      <c r="H17" s="33"/>
      <c r="I17" s="33"/>
      <c r="J17" s="33"/>
      <c r="K17" s="33"/>
      <c r="L17" s="32"/>
      <c r="M17" s="32"/>
      <c r="N17" s="32"/>
      <c r="O17" s="32"/>
      <c r="P17" s="26">
        <f t="shared" si="1"/>
        <v>0</v>
      </c>
      <c r="Q17" s="27">
        <f t="shared" ref="Q17:Q22" si="7">IF(SUM(D17:O17)=0, 0, AVERAGEIF(D17:O17, "&lt;&gt;"))</f>
        <v>0</v>
      </c>
      <c r="R17" s="28">
        <f t="shared" si="2"/>
        <v>0</v>
      </c>
      <c r="S17" s="30"/>
    </row>
    <row r="18" spans="3:19" ht="15" hidden="1" customHeight="1" outlineLevel="1" x14ac:dyDescent="0.2">
      <c r="C18" s="31" t="s">
        <v>32</v>
      </c>
      <c r="D18" s="32"/>
      <c r="E18" s="33"/>
      <c r="F18" s="33"/>
      <c r="G18" s="33"/>
      <c r="H18" s="33"/>
      <c r="I18" s="33"/>
      <c r="J18" s="33"/>
      <c r="K18" s="33"/>
      <c r="L18" s="32"/>
      <c r="M18" s="32"/>
      <c r="N18" s="32"/>
      <c r="O18" s="32"/>
      <c r="P18" s="26">
        <f t="shared" si="1"/>
        <v>0</v>
      </c>
      <c r="Q18" s="27">
        <f t="shared" si="7"/>
        <v>0</v>
      </c>
      <c r="R18" s="28">
        <f t="shared" si="2"/>
        <v>0</v>
      </c>
      <c r="S18" s="30"/>
    </row>
    <row r="19" spans="3:19" ht="15" hidden="1" customHeight="1" outlineLevel="1" x14ac:dyDescent="0.2">
      <c r="C19" s="31" t="s">
        <v>33</v>
      </c>
      <c r="D19" s="32"/>
      <c r="E19" s="33"/>
      <c r="F19" s="33"/>
      <c r="G19" s="33"/>
      <c r="H19" s="33"/>
      <c r="I19" s="33"/>
      <c r="J19" s="33"/>
      <c r="K19" s="33"/>
      <c r="L19" s="32"/>
      <c r="M19" s="32"/>
      <c r="N19" s="32"/>
      <c r="O19" s="32"/>
      <c r="P19" s="26">
        <f t="shared" si="1"/>
        <v>0</v>
      </c>
      <c r="Q19" s="27">
        <f t="shared" si="7"/>
        <v>0</v>
      </c>
      <c r="R19" s="28">
        <f t="shared" si="2"/>
        <v>0</v>
      </c>
      <c r="S19" s="30"/>
    </row>
    <row r="20" spans="3:19" ht="15" hidden="1" customHeight="1" outlineLevel="1" x14ac:dyDescent="0.2">
      <c r="C20" s="31" t="s">
        <v>34</v>
      </c>
      <c r="D20" s="32"/>
      <c r="E20" s="33"/>
      <c r="F20" s="33"/>
      <c r="G20" s="33"/>
      <c r="H20" s="33"/>
      <c r="I20" s="33"/>
      <c r="J20" s="33"/>
      <c r="K20" s="33"/>
      <c r="L20" s="32"/>
      <c r="M20" s="32"/>
      <c r="N20" s="32"/>
      <c r="O20" s="32"/>
      <c r="P20" s="26">
        <f t="shared" si="1"/>
        <v>0</v>
      </c>
      <c r="Q20" s="27">
        <f t="shared" si="7"/>
        <v>0</v>
      </c>
      <c r="R20" s="28">
        <f t="shared" si="2"/>
        <v>0</v>
      </c>
      <c r="S20" s="30"/>
    </row>
    <row r="21" spans="3:19" ht="15" hidden="1" customHeight="1" outlineLevel="1" x14ac:dyDescent="0.2">
      <c r="C21" s="31" t="s">
        <v>35</v>
      </c>
      <c r="D21" s="32"/>
      <c r="E21" s="33"/>
      <c r="F21" s="33"/>
      <c r="G21" s="33"/>
      <c r="H21" s="33"/>
      <c r="I21" s="33"/>
      <c r="J21" s="33"/>
      <c r="K21" s="33"/>
      <c r="L21" s="32"/>
      <c r="M21" s="32"/>
      <c r="N21" s="32"/>
      <c r="O21" s="32"/>
      <c r="P21" s="26">
        <f t="shared" si="1"/>
        <v>0</v>
      </c>
      <c r="Q21" s="27">
        <f t="shared" si="7"/>
        <v>0</v>
      </c>
      <c r="R21" s="28">
        <f t="shared" si="2"/>
        <v>0</v>
      </c>
      <c r="S21" s="30"/>
    </row>
    <row r="22" spans="3:19" ht="15" hidden="1" customHeight="1" outlineLevel="1" x14ac:dyDescent="0.2">
      <c r="C22" s="31" t="s">
        <v>36</v>
      </c>
      <c r="D22" s="32">
        <f>D3*0.26</f>
        <v>8459030.216</v>
      </c>
      <c r="E22" s="32">
        <f t="shared" ref="E22:O22" si="8">E3*0.26</f>
        <v>7188327.7700000005</v>
      </c>
      <c r="F22" s="32">
        <f t="shared" si="8"/>
        <v>6381437.0880000005</v>
      </c>
      <c r="G22" s="32">
        <f t="shared" si="8"/>
        <v>6838187.8760000002</v>
      </c>
      <c r="H22" s="32">
        <f t="shared" si="8"/>
        <v>7512047.7639999995</v>
      </c>
      <c r="I22" s="32">
        <f t="shared" si="8"/>
        <v>6813801.7350000003</v>
      </c>
      <c r="J22" s="32">
        <f t="shared" si="8"/>
        <v>7527866.307</v>
      </c>
      <c r="K22" s="32">
        <f t="shared" si="8"/>
        <v>6696175.0960000008</v>
      </c>
      <c r="L22" s="32">
        <f t="shared" si="8"/>
        <v>7122116.1960000005</v>
      </c>
      <c r="M22" s="32">
        <f t="shared" si="8"/>
        <v>7846260.0996000003</v>
      </c>
      <c r="N22" s="32">
        <f t="shared" si="8"/>
        <v>6861456.1730000004</v>
      </c>
      <c r="O22" s="32">
        <f t="shared" si="8"/>
        <v>8736635.8039999995</v>
      </c>
      <c r="P22" s="26">
        <f t="shared" si="1"/>
        <v>87983342.124600008</v>
      </c>
      <c r="Q22" s="27">
        <f t="shared" si="7"/>
        <v>7331945.177050001</v>
      </c>
      <c r="R22" s="28">
        <f t="shared" si="2"/>
        <v>0.26000000000000006</v>
      </c>
    </row>
    <row r="23" spans="3:19" s="2" customFormat="1" ht="15" customHeight="1" collapsed="1" x14ac:dyDescent="0.2">
      <c r="C23" s="34" t="s">
        <v>37</v>
      </c>
      <c r="D23" s="26">
        <f t="shared" ref="D23:O23" si="9">SUM(D24:D26)</f>
        <v>7873686.54</v>
      </c>
      <c r="E23" s="26">
        <f t="shared" si="9"/>
        <v>9350476.8599999994</v>
      </c>
      <c r="F23" s="26">
        <f t="shared" si="9"/>
        <v>4957057.3600000003</v>
      </c>
      <c r="G23" s="26">
        <f t="shared" si="9"/>
        <v>7778571.4100000001</v>
      </c>
      <c r="H23" s="26">
        <f t="shared" si="9"/>
        <v>8813135.7799999993</v>
      </c>
      <c r="I23" s="26">
        <f t="shared" si="9"/>
        <v>7434283.8700000001</v>
      </c>
      <c r="J23" s="26">
        <f t="shared" si="9"/>
        <v>8444139.3000000007</v>
      </c>
      <c r="K23" s="26">
        <f t="shared" si="9"/>
        <v>8771378.8499999996</v>
      </c>
      <c r="L23" s="26">
        <f t="shared" si="9"/>
        <v>8218803.2400000002</v>
      </c>
      <c r="M23" s="26">
        <f t="shared" si="9"/>
        <v>9910523.0399999991</v>
      </c>
      <c r="N23" s="26">
        <f t="shared" si="9"/>
        <v>7222093.3399999999</v>
      </c>
      <c r="O23" s="26">
        <f t="shared" si="9"/>
        <v>16075221.710000001</v>
      </c>
      <c r="P23" s="26">
        <f t="shared" si="1"/>
        <v>104849371.30000001</v>
      </c>
      <c r="Q23" s="27">
        <f>IF(SUM(D23:O23)=0, 0, AVERAGEIF(D23:O23, "&lt;&gt;0"))</f>
        <v>8737447.6083333343</v>
      </c>
      <c r="R23" s="28">
        <f t="shared" si="2"/>
        <v>0.30984088441870999</v>
      </c>
      <c r="S23" s="35"/>
    </row>
    <row r="24" spans="3:19" s="2" customFormat="1" ht="15" hidden="1" customHeight="1" outlineLevel="1" x14ac:dyDescent="0.2">
      <c r="C24" s="36" t="s">
        <v>38</v>
      </c>
      <c r="D24" s="109">
        <v>3084872.82</v>
      </c>
      <c r="E24" s="109">
        <v>3037280.81</v>
      </c>
      <c r="F24" s="109">
        <v>2202493.41</v>
      </c>
      <c r="G24" s="109">
        <v>2617511.94</v>
      </c>
      <c r="H24" s="109">
        <v>3237543.69</v>
      </c>
      <c r="I24" s="109">
        <v>1951302.58</v>
      </c>
      <c r="J24" s="110">
        <v>2419719.38</v>
      </c>
      <c r="K24" s="109">
        <v>2572681.58</v>
      </c>
      <c r="L24" s="109">
        <v>2704236.1</v>
      </c>
      <c r="M24" s="109">
        <f>2505369.85+341000</f>
        <v>2846369.85</v>
      </c>
      <c r="N24" s="88">
        <v>1986397.9</v>
      </c>
      <c r="O24" s="37">
        <v>4717608.8499999996</v>
      </c>
      <c r="P24" s="39">
        <f t="shared" si="1"/>
        <v>33378018.910000004</v>
      </c>
      <c r="Q24" s="27">
        <f>IF(SUM(D24:O24)=0, 0, AVERAGEIF(D24:O24, "&lt;&gt;"))</f>
        <v>2781501.5758333337</v>
      </c>
      <c r="R24" s="28">
        <f t="shared" si="2"/>
        <v>9.8635545172971642E-2</v>
      </c>
    </row>
    <row r="25" spans="3:19" s="2" customFormat="1" ht="15" hidden="1" customHeight="1" outlineLevel="1" x14ac:dyDescent="0.2">
      <c r="C25" s="36" t="s">
        <v>39</v>
      </c>
      <c r="D25" s="109">
        <v>3002843.72</v>
      </c>
      <c r="E25" s="109">
        <v>4028996.05</v>
      </c>
      <c r="F25" s="109">
        <v>1762663.95</v>
      </c>
      <c r="G25" s="109">
        <v>2906559.47</v>
      </c>
      <c r="H25" s="109">
        <v>3243792.09</v>
      </c>
      <c r="I25" s="109">
        <v>3426481.29</v>
      </c>
      <c r="J25" s="110">
        <v>3423419.92</v>
      </c>
      <c r="K25" s="109">
        <v>3558267.27</v>
      </c>
      <c r="L25" s="109">
        <v>2819267.14</v>
      </c>
      <c r="M25" s="109">
        <v>3742193.19</v>
      </c>
      <c r="N25" s="88">
        <v>1964915.44</v>
      </c>
      <c r="O25" s="88">
        <v>7456612.8600000003</v>
      </c>
      <c r="P25" s="39">
        <f t="shared" si="1"/>
        <v>41336012.390000001</v>
      </c>
      <c r="Q25" s="27">
        <f>IF(SUM(D25:O25)=0, 0, AVERAGEIF(D25:O25, "&lt;&gt;"))</f>
        <v>3444667.6991666667</v>
      </c>
      <c r="R25" s="28">
        <f t="shared" si="2"/>
        <v>0.12215225020867962</v>
      </c>
    </row>
    <row r="26" spans="3:19" s="2" customFormat="1" ht="15" hidden="1" customHeight="1" outlineLevel="1" x14ac:dyDescent="0.2">
      <c r="C26" s="36" t="s">
        <v>40</v>
      </c>
      <c r="D26" s="37">
        <f>1137170+380300+268500</f>
        <v>1785970</v>
      </c>
      <c r="E26" s="37">
        <v>2284200</v>
      </c>
      <c r="F26" s="37">
        <v>991900</v>
      </c>
      <c r="G26" s="37">
        <v>2254500</v>
      </c>
      <c r="H26" s="37">
        <v>2331800</v>
      </c>
      <c r="I26" s="37">
        <v>2056500</v>
      </c>
      <c r="J26" s="37">
        <v>2601000</v>
      </c>
      <c r="K26" s="37">
        <v>2640430</v>
      </c>
      <c r="L26" s="88">
        <f>2469300+226000</f>
        <v>2695300</v>
      </c>
      <c r="M26" s="88">
        <f>3055960+266000</f>
        <v>3321960</v>
      </c>
      <c r="N26" s="88">
        <f>2897780+373000</f>
        <v>3270780</v>
      </c>
      <c r="O26" s="88">
        <v>3901000</v>
      </c>
      <c r="P26" s="39">
        <f t="shared" si="1"/>
        <v>30135340</v>
      </c>
      <c r="Q26" s="27">
        <f>IF(SUM(D26:O26)=0, 0, AVERAGEIF(D26:O26, "&lt;&gt;"))</f>
        <v>2511278.3333333335</v>
      </c>
      <c r="R26" s="28">
        <f t="shared" si="2"/>
        <v>8.9053089037058691E-2</v>
      </c>
    </row>
    <row r="27" spans="3:19" ht="15" customHeight="1" collapsed="1" x14ac:dyDescent="0.2">
      <c r="C27" s="29" t="s">
        <v>41</v>
      </c>
      <c r="D27" s="26">
        <f t="shared" ref="D27:O27" si="10">SUM(D28:D33)</f>
        <v>385800</v>
      </c>
      <c r="E27" s="26">
        <f t="shared" si="10"/>
        <v>300000</v>
      </c>
      <c r="F27" s="26">
        <f t="shared" si="10"/>
        <v>300000</v>
      </c>
      <c r="G27" s="26">
        <f t="shared" si="10"/>
        <v>300000</v>
      </c>
      <c r="H27" s="26">
        <f t="shared" si="10"/>
        <v>1300000</v>
      </c>
      <c r="I27" s="26">
        <f>SUM(I28:I33)</f>
        <v>1252732.8799999999</v>
      </c>
      <c r="J27" s="26">
        <f t="shared" si="10"/>
        <v>350000</v>
      </c>
      <c r="K27" s="26">
        <f t="shared" si="10"/>
        <v>350000</v>
      </c>
      <c r="L27" s="26">
        <f t="shared" si="10"/>
        <v>350000</v>
      </c>
      <c r="M27" s="26">
        <f t="shared" si="10"/>
        <v>350000</v>
      </c>
      <c r="N27" s="26">
        <f t="shared" si="10"/>
        <v>350000</v>
      </c>
      <c r="O27" s="26">
        <f t="shared" si="10"/>
        <v>2283325.4399999999</v>
      </c>
      <c r="P27" s="26">
        <f t="shared" si="1"/>
        <v>7871858.3200000003</v>
      </c>
      <c r="Q27" s="27">
        <f>IF(SUM(D27:O27)=0, 0, AVERAGEIF(D27:O27, "&lt;&gt;0"))</f>
        <v>655988.19333333336</v>
      </c>
      <c r="R27" s="28">
        <f t="shared" si="2"/>
        <v>2.3262166607646413E-2</v>
      </c>
    </row>
    <row r="28" spans="3:19" ht="15" hidden="1" customHeight="1" outlineLevel="1" x14ac:dyDescent="0.2">
      <c r="C28" s="40" t="s">
        <v>42</v>
      </c>
      <c r="D28" s="41">
        <v>200000</v>
      </c>
      <c r="E28" s="41">
        <v>200000</v>
      </c>
      <c r="F28" s="41">
        <v>200000</v>
      </c>
      <c r="G28" s="41">
        <v>200000</v>
      </c>
      <c r="H28" s="41">
        <v>200000</v>
      </c>
      <c r="I28" s="41">
        <v>200000</v>
      </c>
      <c r="J28" s="41">
        <v>200000</v>
      </c>
      <c r="K28" s="41">
        <v>200000</v>
      </c>
      <c r="L28" s="41">
        <v>200000</v>
      </c>
      <c r="M28" s="41">
        <v>200000</v>
      </c>
      <c r="N28" s="41">
        <v>200000</v>
      </c>
      <c r="O28" s="41">
        <v>200000</v>
      </c>
      <c r="P28" s="42">
        <f t="shared" si="1"/>
        <v>2400000</v>
      </c>
      <c r="Q28" s="27">
        <f>IF(SUM(D28:O28)=0, 0, AVERAGEIF(D28:O28, "&lt;&gt;"))</f>
        <v>200000</v>
      </c>
      <c r="R28" s="28">
        <f t="shared" si="2"/>
        <v>7.0922516118597251E-3</v>
      </c>
    </row>
    <row r="29" spans="3:19" ht="15" hidden="1" customHeight="1" outlineLevel="1" x14ac:dyDescent="0.2">
      <c r="C29" s="40" t="s">
        <v>43</v>
      </c>
      <c r="D29" s="41">
        <v>100000</v>
      </c>
      <c r="E29" s="41">
        <v>100000</v>
      </c>
      <c r="F29" s="41">
        <v>100000</v>
      </c>
      <c r="G29" s="41">
        <v>100000</v>
      </c>
      <c r="H29" s="41">
        <v>100000</v>
      </c>
      <c r="I29" s="41">
        <v>100000</v>
      </c>
      <c r="J29" s="41">
        <v>150000</v>
      </c>
      <c r="K29" s="41">
        <v>150000</v>
      </c>
      <c r="L29" s="41">
        <v>150000</v>
      </c>
      <c r="M29" s="41">
        <v>150000</v>
      </c>
      <c r="N29" s="41">
        <v>150000</v>
      </c>
      <c r="O29" s="41">
        <v>150000</v>
      </c>
      <c r="P29" s="42">
        <f t="shared" si="1"/>
        <v>1500000</v>
      </c>
      <c r="Q29" s="27">
        <f>IF(SUM(D29:O29)=0, 0, AVERAGEIF(D29:O29, "&lt;&gt;"))</f>
        <v>125000</v>
      </c>
      <c r="R29" s="28">
        <f t="shared" si="2"/>
        <v>4.4326572574123289E-3</v>
      </c>
    </row>
    <row r="30" spans="3:19" ht="15" hidden="1" customHeight="1" outlineLevel="1" x14ac:dyDescent="0.2">
      <c r="C30" s="40" t="s">
        <v>44</v>
      </c>
      <c r="D30" s="41">
        <v>0</v>
      </c>
      <c r="E30" s="41">
        <v>0</v>
      </c>
      <c r="F30" s="41">
        <v>0</v>
      </c>
      <c r="G30" s="38">
        <v>0</v>
      </c>
      <c r="H30" s="38">
        <v>1000000</v>
      </c>
      <c r="I30" s="41">
        <v>952732.88</v>
      </c>
      <c r="J30" s="41">
        <v>0</v>
      </c>
      <c r="K30" s="41">
        <v>0</v>
      </c>
      <c r="L30" s="41">
        <v>0</v>
      </c>
      <c r="M30" s="41">
        <v>0</v>
      </c>
      <c r="N30" s="41">
        <v>0</v>
      </c>
      <c r="O30" s="41">
        <v>1243633.44</v>
      </c>
      <c r="P30" s="42">
        <f t="shared" si="1"/>
        <v>3196366.32</v>
      </c>
      <c r="Q30" s="27">
        <f>IF(SUM(D30:O30)=0, 0, AVERAGEIF(D30:O30, "&lt;&gt;"))</f>
        <v>266363.86</v>
      </c>
      <c r="R30" s="28">
        <f t="shared" si="2"/>
        <v>9.4455975771308917E-3</v>
      </c>
    </row>
    <row r="31" spans="3:19" ht="15" hidden="1" customHeight="1" outlineLevel="1" x14ac:dyDescent="0.2">
      <c r="C31" s="40" t="s">
        <v>87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0</v>
      </c>
      <c r="L31" s="41">
        <v>0</v>
      </c>
      <c r="M31" s="41">
        <v>0</v>
      </c>
      <c r="N31" s="41">
        <v>0</v>
      </c>
      <c r="O31" s="41">
        <v>439992</v>
      </c>
      <c r="P31" s="42">
        <f t="shared" ref="P31:P32" si="11">SUM(D31:O31)</f>
        <v>439992</v>
      </c>
      <c r="Q31" s="27">
        <f t="shared" ref="Q31:Q32" si="12">IF(SUM(D31:O31)=0, 0, AVERAGEIF(D31:O31, "&lt;&gt;"))</f>
        <v>36666</v>
      </c>
      <c r="R31" s="28">
        <f t="shared" ref="R31:R32" si="13">IF(P$3=0, 0, P31/P$3)</f>
        <v>1.3002224880022434E-3</v>
      </c>
    </row>
    <row r="32" spans="3:19" ht="15" hidden="1" customHeight="1" outlineLevel="1" x14ac:dyDescent="0.2">
      <c r="C32" s="40" t="s">
        <v>88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130"/>
      <c r="P32" s="42">
        <f t="shared" si="11"/>
        <v>0</v>
      </c>
      <c r="Q32" s="27">
        <f t="shared" si="12"/>
        <v>0</v>
      </c>
      <c r="R32" s="28">
        <f t="shared" si="13"/>
        <v>0</v>
      </c>
    </row>
    <row r="33" spans="3:18" ht="15" hidden="1" customHeight="1" outlineLevel="1" x14ac:dyDescent="0.2">
      <c r="C33" s="40" t="s">
        <v>45</v>
      </c>
      <c r="D33" s="41">
        <v>85800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249700</v>
      </c>
      <c r="P33" s="42">
        <f t="shared" si="1"/>
        <v>335500</v>
      </c>
      <c r="Q33" s="27">
        <f>IF(SUM(D33:O33)=0, 0, AVERAGEIF(D33:O33, "&lt;&gt;"))</f>
        <v>27958.333333333332</v>
      </c>
      <c r="R33" s="28">
        <f t="shared" si="2"/>
        <v>9.9143767324122423E-4</v>
      </c>
    </row>
    <row r="34" spans="3:18" ht="15" customHeight="1" collapsed="1" x14ac:dyDescent="0.2">
      <c r="C34" s="34" t="s">
        <v>46</v>
      </c>
      <c r="D34" s="42">
        <f t="shared" ref="D34:O34" si="14">SUM(D35:D37)</f>
        <v>2050000</v>
      </c>
      <c r="E34" s="42">
        <f t="shared" si="14"/>
        <v>2450000</v>
      </c>
      <c r="F34" s="42">
        <f t="shared" si="14"/>
        <v>2050000</v>
      </c>
      <c r="G34" s="42">
        <f t="shared" si="14"/>
        <v>2580691.42</v>
      </c>
      <c r="H34" s="42">
        <f t="shared" si="14"/>
        <v>2050000</v>
      </c>
      <c r="I34" s="42">
        <f t="shared" si="14"/>
        <v>2050000</v>
      </c>
      <c r="J34" s="42">
        <f t="shared" si="14"/>
        <v>2050000</v>
      </c>
      <c r="K34" s="42">
        <f t="shared" si="14"/>
        <v>2050000</v>
      </c>
      <c r="L34" s="42">
        <f t="shared" si="14"/>
        <v>2050000</v>
      </c>
      <c r="M34" s="42">
        <f t="shared" si="14"/>
        <v>2220000</v>
      </c>
      <c r="N34" s="42">
        <f t="shared" si="14"/>
        <v>2135000</v>
      </c>
      <c r="O34" s="42">
        <f t="shared" si="14"/>
        <v>2135000</v>
      </c>
      <c r="P34" s="42">
        <f t="shared" si="1"/>
        <v>25870691.420000002</v>
      </c>
      <c r="Q34" s="27">
        <f>IF(SUM(D34:O34)=0, 0, AVERAGEIF(D34:O34, "&lt;&gt;0"))</f>
        <v>2155890.9516666667</v>
      </c>
      <c r="R34" s="28">
        <f t="shared" si="2"/>
        <v>7.6450605384758577E-2</v>
      </c>
    </row>
    <row r="35" spans="3:18" ht="15" hidden="1" customHeight="1" outlineLevel="1" x14ac:dyDescent="0.2">
      <c r="C35" s="40" t="s">
        <v>47</v>
      </c>
      <c r="D35" s="108">
        <v>2000000</v>
      </c>
      <c r="E35" s="38">
        <v>2400000</v>
      </c>
      <c r="F35" s="108">
        <v>2000000</v>
      </c>
      <c r="G35" s="108">
        <v>2000000</v>
      </c>
      <c r="H35" s="108">
        <v>2000000</v>
      </c>
      <c r="I35" s="108">
        <v>2000000</v>
      </c>
      <c r="J35" s="108">
        <v>2000000</v>
      </c>
      <c r="K35" s="108">
        <v>2000000</v>
      </c>
      <c r="L35" s="108">
        <v>2000000</v>
      </c>
      <c r="M35" s="108">
        <v>2000000</v>
      </c>
      <c r="N35" s="108">
        <v>2000000</v>
      </c>
      <c r="O35" s="108">
        <v>2000000</v>
      </c>
      <c r="P35" s="42">
        <f t="shared" si="1"/>
        <v>24400000</v>
      </c>
      <c r="Q35" s="27">
        <f>IF(SUM(D35:O35)=0, 0, AVERAGEIF(D35:O35, "&lt;&gt;"))</f>
        <v>2033333.3333333333</v>
      </c>
      <c r="R35" s="28">
        <f t="shared" si="2"/>
        <v>7.2104558053907211E-2</v>
      </c>
    </row>
    <row r="36" spans="3:18" ht="15" hidden="1" customHeight="1" outlineLevel="1" x14ac:dyDescent="0.2">
      <c r="C36" s="40" t="s">
        <v>48</v>
      </c>
      <c r="D36" s="38">
        <v>50000</v>
      </c>
      <c r="E36" s="38">
        <v>50000</v>
      </c>
      <c r="F36" s="38">
        <v>50000</v>
      </c>
      <c r="G36" s="38">
        <v>50000</v>
      </c>
      <c r="H36" s="38">
        <v>50000</v>
      </c>
      <c r="I36" s="38">
        <v>50000</v>
      </c>
      <c r="J36" s="38">
        <v>50000</v>
      </c>
      <c r="K36" s="38">
        <v>50000</v>
      </c>
      <c r="L36" s="38">
        <v>50000</v>
      </c>
      <c r="M36" s="131">
        <v>220000</v>
      </c>
      <c r="N36" s="131">
        <v>135000</v>
      </c>
      <c r="O36" s="131">
        <v>135000</v>
      </c>
      <c r="P36" s="42">
        <f t="shared" si="1"/>
        <v>940000</v>
      </c>
      <c r="Q36" s="27">
        <f>IF(SUM(D36:O36)=0, 0, AVERAGEIF(D36:O36, "&lt;&gt;"))</f>
        <v>78333.333333333328</v>
      </c>
      <c r="R36" s="28">
        <f t="shared" si="2"/>
        <v>2.7777985479783924E-3</v>
      </c>
    </row>
    <row r="37" spans="3:18" ht="15" hidden="1" customHeight="1" outlineLevel="1" x14ac:dyDescent="0.2">
      <c r="C37" s="31" t="s">
        <v>49</v>
      </c>
      <c r="D37" s="38">
        <v>0</v>
      </c>
      <c r="E37" s="38">
        <v>0</v>
      </c>
      <c r="F37" s="38">
        <v>0</v>
      </c>
      <c r="G37" s="38">
        <v>530691.42000000004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42">
        <f t="shared" ref="P37:P67" si="15">SUM(D37:O37)</f>
        <v>530691.42000000004</v>
      </c>
      <c r="Q37" s="27">
        <f>IF(SUM(D37:O37)=0, 0, AVERAGEIF(D37:O37, "&lt;&gt;"))</f>
        <v>44224.285000000003</v>
      </c>
      <c r="R37" s="28">
        <f t="shared" si="2"/>
        <v>1.5682487828729695E-3</v>
      </c>
    </row>
    <row r="38" spans="3:18" ht="15" customHeight="1" collapsed="1" x14ac:dyDescent="0.2">
      <c r="C38" s="34" t="s">
        <v>50</v>
      </c>
      <c r="D38" s="26">
        <f t="shared" ref="D38:O38" si="16">SUM(D39:D45)</f>
        <v>660892.22</v>
      </c>
      <c r="E38" s="26">
        <f t="shared" si="16"/>
        <v>440482.30999999994</v>
      </c>
      <c r="F38" s="26">
        <f t="shared" si="16"/>
        <v>596431.42999999993</v>
      </c>
      <c r="G38" s="26">
        <f t="shared" si="16"/>
        <v>566400.37</v>
      </c>
      <c r="H38" s="26">
        <f t="shared" si="16"/>
        <v>355593.76999999996</v>
      </c>
      <c r="I38" s="26">
        <f t="shared" si="16"/>
        <v>488983.62</v>
      </c>
      <c r="J38" s="26">
        <f t="shared" si="16"/>
        <v>439686.33999999997</v>
      </c>
      <c r="K38" s="26">
        <f t="shared" si="16"/>
        <v>363398.64999999997</v>
      </c>
      <c r="L38" s="26">
        <f t="shared" si="16"/>
        <v>231839.57</v>
      </c>
      <c r="M38" s="26">
        <f t="shared" si="16"/>
        <v>164423.70000000001</v>
      </c>
      <c r="N38" s="26">
        <f t="shared" si="16"/>
        <v>651782.79999999993</v>
      </c>
      <c r="O38" s="26">
        <f t="shared" si="16"/>
        <v>470404.37</v>
      </c>
      <c r="P38" s="26">
        <f t="shared" si="15"/>
        <v>5430319.1499999994</v>
      </c>
      <c r="Q38" s="27">
        <f>IF(SUM(D38:O38)=0, 0, AVERAGEIF(D38:O38, "&lt;&gt;0"))</f>
        <v>452526.59583333327</v>
      </c>
      <c r="R38" s="28">
        <f t="shared" ref="R38:R67" si="17">IF(P$3=0, 0, P38/P$3)</f>
        <v>1.6047162393541762E-2</v>
      </c>
    </row>
    <row r="39" spans="3:18" ht="15" hidden="1" customHeight="1" outlineLevel="1" x14ac:dyDescent="0.2">
      <c r="C39" s="31" t="s">
        <v>51</v>
      </c>
      <c r="D39" s="38">
        <v>400232.45</v>
      </c>
      <c r="E39" s="38">
        <v>319377.40999999997</v>
      </c>
      <c r="F39" s="38">
        <v>336896</v>
      </c>
      <c r="G39" s="38">
        <v>377997.31</v>
      </c>
      <c r="H39" s="38">
        <v>194725.89</v>
      </c>
      <c r="I39" s="38">
        <v>289730.56</v>
      </c>
      <c r="J39" s="38">
        <v>322531.44</v>
      </c>
      <c r="K39" s="38">
        <v>249704</v>
      </c>
      <c r="L39" s="38">
        <v>116290.72</v>
      </c>
      <c r="M39" s="38"/>
      <c r="N39" s="38">
        <v>474381.6</v>
      </c>
      <c r="O39" s="38">
        <v>302724.8</v>
      </c>
      <c r="P39" s="42">
        <f t="shared" si="15"/>
        <v>3384592.18</v>
      </c>
      <c r="Q39" s="27">
        <f t="shared" ref="Q39:Q45" si="18">IF(SUM(D39:O39)=0, 0, AVERAGEIF(D39:O39, "&lt;&gt;"))</f>
        <v>307690.19818181818</v>
      </c>
      <c r="R39" s="28">
        <f t="shared" si="17"/>
        <v>1.0001824726705343E-2</v>
      </c>
    </row>
    <row r="40" spans="3:18" ht="15" hidden="1" customHeight="1" outlineLevel="1" x14ac:dyDescent="0.2">
      <c r="C40" s="31" t="s">
        <v>52</v>
      </c>
      <c r="D40" s="38">
        <v>14853.92</v>
      </c>
      <c r="E40" s="38">
        <v>27556.05</v>
      </c>
      <c r="F40" s="38">
        <v>18710.05</v>
      </c>
      <c r="G40" s="38">
        <v>22263.8</v>
      </c>
      <c r="H40" s="38">
        <v>37991.919999999998</v>
      </c>
      <c r="I40" s="38">
        <v>35199.339999999997</v>
      </c>
      <c r="J40" s="38">
        <v>23606.05</v>
      </c>
      <c r="K40" s="38">
        <v>20145.8</v>
      </c>
      <c r="L40" s="38">
        <v>22000</v>
      </c>
      <c r="M40" s="38">
        <v>35736.1</v>
      </c>
      <c r="N40" s="38">
        <v>44574.97</v>
      </c>
      <c r="O40" s="38">
        <v>5143.09</v>
      </c>
      <c r="P40" s="42">
        <f t="shared" si="15"/>
        <v>307781.09000000003</v>
      </c>
      <c r="Q40" s="27">
        <f t="shared" si="18"/>
        <v>25648.424166666668</v>
      </c>
      <c r="R40" s="28">
        <f t="shared" si="17"/>
        <v>9.0952538818851812E-4</v>
      </c>
    </row>
    <row r="41" spans="3:18" ht="15" hidden="1" customHeight="1" outlineLevel="1" x14ac:dyDescent="0.2">
      <c r="C41" s="31" t="s">
        <v>53</v>
      </c>
      <c r="D41" s="38">
        <v>152257</v>
      </c>
      <c r="E41" s="38">
        <v>0</v>
      </c>
      <c r="F41" s="38">
        <v>147276.53</v>
      </c>
      <c r="G41" s="38">
        <v>72590.41</v>
      </c>
      <c r="H41" s="38">
        <v>29327.11</v>
      </c>
      <c r="I41" s="38">
        <v>70504.87</v>
      </c>
      <c r="J41" s="38">
        <v>0</v>
      </c>
      <c r="K41" s="38">
        <v>0</v>
      </c>
      <c r="L41" s="38">
        <v>0</v>
      </c>
      <c r="M41" s="38">
        <v>35138.75</v>
      </c>
      <c r="N41" s="38">
        <v>39277.379999999997</v>
      </c>
      <c r="O41" s="38">
        <v>68987.63</v>
      </c>
      <c r="P41" s="42">
        <f t="shared" si="15"/>
        <v>615359.68000000005</v>
      </c>
      <c r="Q41" s="27">
        <f t="shared" si="18"/>
        <v>51279.973333333335</v>
      </c>
      <c r="R41" s="28">
        <f t="shared" si="17"/>
        <v>1.8184523676472856E-3</v>
      </c>
    </row>
    <row r="42" spans="3:18" ht="15" hidden="1" customHeight="1" outlineLevel="1" x14ac:dyDescent="0.2">
      <c r="C42" s="31" t="s">
        <v>54</v>
      </c>
      <c r="D42" s="38">
        <v>35000</v>
      </c>
      <c r="E42" s="38">
        <v>35000</v>
      </c>
      <c r="F42" s="38">
        <v>35000</v>
      </c>
      <c r="G42" s="38">
        <v>35000</v>
      </c>
      <c r="H42" s="38">
        <v>35000</v>
      </c>
      <c r="I42" s="38">
        <v>35000</v>
      </c>
      <c r="J42" s="38">
        <v>35000</v>
      </c>
      <c r="K42" s="38">
        <v>35000</v>
      </c>
      <c r="L42" s="38">
        <v>35000</v>
      </c>
      <c r="M42" s="38">
        <v>35000</v>
      </c>
      <c r="N42" s="38">
        <v>35000</v>
      </c>
      <c r="O42" s="38">
        <v>35000</v>
      </c>
      <c r="P42" s="42">
        <f t="shared" si="15"/>
        <v>420000</v>
      </c>
      <c r="Q42" s="27">
        <f t="shared" si="18"/>
        <v>35000</v>
      </c>
      <c r="R42" s="28">
        <f t="shared" si="17"/>
        <v>1.2411440320754519E-3</v>
      </c>
    </row>
    <row r="43" spans="3:18" ht="15" hidden="1" customHeight="1" outlineLevel="1" x14ac:dyDescent="0.2">
      <c r="C43" s="31" t="s">
        <v>55</v>
      </c>
      <c r="D43" s="38">
        <v>10000</v>
      </c>
      <c r="E43" s="38">
        <v>10000</v>
      </c>
      <c r="F43" s="38">
        <v>10000</v>
      </c>
      <c r="G43" s="38">
        <v>10000</v>
      </c>
      <c r="H43" s="38">
        <v>10000</v>
      </c>
      <c r="I43" s="38">
        <v>10000</v>
      </c>
      <c r="J43" s="38">
        <v>10000</v>
      </c>
      <c r="K43" s="38">
        <v>10000</v>
      </c>
      <c r="L43" s="38">
        <v>10000</v>
      </c>
      <c r="M43" s="38">
        <v>10000</v>
      </c>
      <c r="N43" s="38">
        <v>10000</v>
      </c>
      <c r="O43" s="38">
        <v>10000</v>
      </c>
      <c r="P43" s="42">
        <f t="shared" si="15"/>
        <v>120000</v>
      </c>
      <c r="Q43" s="27">
        <f t="shared" si="18"/>
        <v>10000</v>
      </c>
      <c r="R43" s="28">
        <f t="shared" si="17"/>
        <v>3.5461258059298626E-4</v>
      </c>
    </row>
    <row r="44" spans="3:18" ht="15" hidden="1" customHeight="1" outlineLevel="1" x14ac:dyDescent="0.2">
      <c r="C44" s="31" t="s">
        <v>56</v>
      </c>
      <c r="D44" s="38">
        <v>48548.85</v>
      </c>
      <c r="E44" s="38">
        <v>48548.85</v>
      </c>
      <c r="F44" s="38">
        <v>48548.85</v>
      </c>
      <c r="G44" s="38">
        <v>48548.85</v>
      </c>
      <c r="H44" s="38">
        <v>48548.85</v>
      </c>
      <c r="I44" s="38">
        <v>48548.85</v>
      </c>
      <c r="J44" s="38">
        <v>48548.85</v>
      </c>
      <c r="K44" s="38">
        <v>48548.85</v>
      </c>
      <c r="L44" s="38">
        <v>48548.85</v>
      </c>
      <c r="M44" s="38">
        <v>48548.85</v>
      </c>
      <c r="N44" s="38">
        <v>48548.85</v>
      </c>
      <c r="O44" s="38">
        <v>48548.85</v>
      </c>
      <c r="P44" s="42">
        <f t="shared" si="15"/>
        <v>582586.19999999984</v>
      </c>
      <c r="Q44" s="27">
        <f t="shared" si="18"/>
        <v>48548.849999999984</v>
      </c>
      <c r="R44" s="28">
        <f t="shared" si="17"/>
        <v>1.7216032983321796E-3</v>
      </c>
    </row>
    <row r="45" spans="3:18" ht="15" hidden="1" customHeight="1" outlineLevel="1" x14ac:dyDescent="0.2">
      <c r="C45" s="31" t="s">
        <v>57</v>
      </c>
      <c r="D45" s="38">
        <v>0</v>
      </c>
      <c r="E45" s="38">
        <v>0</v>
      </c>
      <c r="F45" s="38">
        <v>0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42">
        <f t="shared" si="15"/>
        <v>0</v>
      </c>
      <c r="Q45" s="27">
        <f t="shared" si="18"/>
        <v>0</v>
      </c>
      <c r="R45" s="28">
        <f t="shared" si="17"/>
        <v>0</v>
      </c>
    </row>
    <row r="46" spans="3:18" ht="15" customHeight="1" collapsed="1" x14ac:dyDescent="0.2">
      <c r="C46" s="29" t="s">
        <v>58</v>
      </c>
      <c r="D46" s="26">
        <f t="shared" ref="D46:O46" si="19">SUM(D47:D58)</f>
        <v>1846018.32</v>
      </c>
      <c r="E46" s="26">
        <f t="shared" si="19"/>
        <v>973600.63</v>
      </c>
      <c r="F46" s="26">
        <f t="shared" si="19"/>
        <v>1308931.78</v>
      </c>
      <c r="G46" s="26">
        <f t="shared" si="19"/>
        <v>879938.63</v>
      </c>
      <c r="H46" s="26">
        <f t="shared" si="19"/>
        <v>1318923.1200000001</v>
      </c>
      <c r="I46" s="26">
        <f t="shared" si="19"/>
        <v>1002725.13</v>
      </c>
      <c r="J46" s="26">
        <f t="shared" si="19"/>
        <v>1390287.13</v>
      </c>
      <c r="K46" s="26">
        <f t="shared" si="19"/>
        <v>1765978.74</v>
      </c>
      <c r="L46" s="26">
        <f t="shared" si="19"/>
        <v>1008914.64</v>
      </c>
      <c r="M46" s="26">
        <f t="shared" si="19"/>
        <v>1301062.6299999999</v>
      </c>
      <c r="N46" s="26">
        <f t="shared" si="19"/>
        <v>1516146.02</v>
      </c>
      <c r="O46" s="26">
        <f t="shared" si="19"/>
        <v>2199747.42</v>
      </c>
      <c r="P46" s="26">
        <f t="shared" si="15"/>
        <v>16512274.189999999</v>
      </c>
      <c r="Q46" s="27">
        <f>IF(SUM(D46:O46)=0, 0, AVERAGEIF(D46:O46, "&lt;&gt;0"))</f>
        <v>1376022.8491666666</v>
      </c>
      <c r="R46" s="28">
        <f t="shared" si="17"/>
        <v>4.8795501349790514E-2</v>
      </c>
    </row>
    <row r="47" spans="3:18" ht="15" hidden="1" customHeight="1" outlineLevel="1" x14ac:dyDescent="0.2">
      <c r="C47" s="40" t="s">
        <v>59</v>
      </c>
      <c r="D47" s="38">
        <v>957379.5</v>
      </c>
      <c r="E47" s="38">
        <v>156845.5</v>
      </c>
      <c r="F47" s="38">
        <v>704740</v>
      </c>
      <c r="G47" s="38">
        <v>160420</v>
      </c>
      <c r="H47" s="38">
        <v>281093</v>
      </c>
      <c r="I47" s="38">
        <v>120523.4</v>
      </c>
      <c r="J47" s="38">
        <v>234522.4</v>
      </c>
      <c r="K47" s="38">
        <v>307150.8</v>
      </c>
      <c r="L47" s="38">
        <v>246091.6</v>
      </c>
      <c r="M47" s="38">
        <v>230256.5</v>
      </c>
      <c r="N47" s="38">
        <f>39664+185926.8</f>
        <v>225590.8</v>
      </c>
      <c r="O47" s="38">
        <f>12636+466688.1+66000</f>
        <v>545324.1</v>
      </c>
      <c r="P47" s="42">
        <f t="shared" si="15"/>
        <v>4169937.5999999996</v>
      </c>
      <c r="Q47" s="27">
        <f t="shared" ref="Q47:Q58" si="20">IF(SUM(D47:O47)=0, 0, AVERAGEIF(D47:O47, "&lt;&gt;"))</f>
        <v>347494.8</v>
      </c>
      <c r="R47" s="28">
        <f t="shared" si="17"/>
        <v>1.2322602777064364E-2</v>
      </c>
    </row>
    <row r="48" spans="3:18" ht="15" hidden="1" customHeight="1" outlineLevel="1" x14ac:dyDescent="0.2">
      <c r="C48" s="40" t="s">
        <v>60</v>
      </c>
      <c r="D48" s="38">
        <v>260650.82</v>
      </c>
      <c r="E48" s="38">
        <v>250226.13</v>
      </c>
      <c r="F48" s="38">
        <v>214012.78</v>
      </c>
      <c r="G48" s="38">
        <v>258137.63</v>
      </c>
      <c r="H48" s="38">
        <v>271328.12</v>
      </c>
      <c r="I48" s="38">
        <v>300500.73</v>
      </c>
      <c r="J48" s="38">
        <v>286982.73</v>
      </c>
      <c r="K48" s="38">
        <v>235562.94</v>
      </c>
      <c r="L48" s="38">
        <v>298463.03999999998</v>
      </c>
      <c r="M48" s="38">
        <v>269382.13</v>
      </c>
      <c r="N48" s="38">
        <v>228237.22</v>
      </c>
      <c r="O48" s="38">
        <v>323784.32000000001</v>
      </c>
      <c r="P48" s="42">
        <f t="shared" si="15"/>
        <v>3197268.59</v>
      </c>
      <c r="Q48" s="27">
        <f t="shared" si="20"/>
        <v>266439.04916666663</v>
      </c>
      <c r="R48" s="28">
        <f t="shared" si="17"/>
        <v>9.4482638795733206E-3</v>
      </c>
    </row>
    <row r="49" spans="3:18" ht="15" hidden="1" customHeight="1" outlineLevel="1" x14ac:dyDescent="0.2">
      <c r="C49" s="31" t="s">
        <v>61</v>
      </c>
      <c r="D49" s="38">
        <v>22000</v>
      </c>
      <c r="E49" s="38">
        <v>22000</v>
      </c>
      <c r="F49" s="38">
        <v>80335</v>
      </c>
      <c r="G49" s="38">
        <v>22000</v>
      </c>
      <c r="H49" s="38">
        <v>22000</v>
      </c>
      <c r="I49" s="38">
        <v>22000</v>
      </c>
      <c r="J49" s="38">
        <v>22000</v>
      </c>
      <c r="K49" s="38">
        <v>22000</v>
      </c>
      <c r="L49" s="38">
        <v>22000</v>
      </c>
      <c r="M49" s="38">
        <v>22000</v>
      </c>
      <c r="N49" s="38">
        <v>22000</v>
      </c>
      <c r="O49" s="38">
        <v>22000</v>
      </c>
      <c r="P49" s="42">
        <f t="shared" si="15"/>
        <v>322335</v>
      </c>
      <c r="Q49" s="27">
        <f t="shared" si="20"/>
        <v>26861.25</v>
      </c>
      <c r="R49" s="28">
        <f t="shared" si="17"/>
        <v>9.525337180453353E-4</v>
      </c>
    </row>
    <row r="50" spans="3:18" ht="15" hidden="1" customHeight="1" outlineLevel="1" x14ac:dyDescent="0.2">
      <c r="C50" s="31" t="s">
        <v>62</v>
      </c>
      <c r="D50" s="38">
        <v>41250</v>
      </c>
      <c r="E50" s="38">
        <v>41250</v>
      </c>
      <c r="F50" s="38">
        <v>43410</v>
      </c>
      <c r="G50" s="38">
        <v>43410</v>
      </c>
      <c r="H50" s="38">
        <v>43410</v>
      </c>
      <c r="I50" s="38">
        <v>43410</v>
      </c>
      <c r="J50" s="38">
        <v>43410</v>
      </c>
      <c r="K50" s="38">
        <v>72910</v>
      </c>
      <c r="L50" s="38">
        <v>86820</v>
      </c>
      <c r="M50" s="38">
        <v>43410</v>
      </c>
      <c r="N50" s="38">
        <v>43410</v>
      </c>
      <c r="O50" s="38">
        <v>43410</v>
      </c>
      <c r="P50" s="42">
        <f t="shared" si="15"/>
        <v>589510</v>
      </c>
      <c r="Q50" s="27">
        <f t="shared" si="20"/>
        <v>49125.833333333336</v>
      </c>
      <c r="R50" s="28">
        <f t="shared" si="17"/>
        <v>1.7420638532114278E-3</v>
      </c>
    </row>
    <row r="51" spans="3:18" ht="15" hidden="1" customHeight="1" outlineLevel="1" x14ac:dyDescent="0.2">
      <c r="C51" s="31" t="s">
        <v>63</v>
      </c>
      <c r="D51" s="38">
        <v>0</v>
      </c>
      <c r="E51" s="38">
        <v>0</v>
      </c>
      <c r="F51" s="38">
        <v>0</v>
      </c>
      <c r="G51" s="38">
        <v>0</v>
      </c>
      <c r="H51" s="38">
        <v>0</v>
      </c>
      <c r="I51" s="38">
        <v>101000</v>
      </c>
      <c r="J51" s="38">
        <v>45000</v>
      </c>
      <c r="K51" s="38">
        <v>0</v>
      </c>
      <c r="L51" s="38">
        <v>0</v>
      </c>
      <c r="M51" s="38">
        <v>0</v>
      </c>
      <c r="N51" s="38">
        <v>180000</v>
      </c>
      <c r="O51" s="38">
        <v>0</v>
      </c>
      <c r="P51" s="42">
        <f t="shared" si="15"/>
        <v>326000</v>
      </c>
      <c r="Q51" s="27">
        <f t="shared" si="20"/>
        <v>27166.666666666668</v>
      </c>
      <c r="R51" s="28">
        <f t="shared" si="17"/>
        <v>9.633641772776127E-4</v>
      </c>
    </row>
    <row r="52" spans="3:18" ht="15" hidden="1" customHeight="1" outlineLevel="1" x14ac:dyDescent="0.2">
      <c r="C52" s="31" t="s">
        <v>64</v>
      </c>
      <c r="D52" s="38">
        <v>0</v>
      </c>
      <c r="E52" s="38">
        <v>0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8">
        <v>0</v>
      </c>
      <c r="P52" s="42">
        <f t="shared" si="15"/>
        <v>0</v>
      </c>
      <c r="Q52" s="27">
        <f t="shared" si="20"/>
        <v>0</v>
      </c>
      <c r="R52" s="28">
        <f t="shared" si="17"/>
        <v>0</v>
      </c>
    </row>
    <row r="53" spans="3:18" ht="15" hidden="1" customHeight="1" outlineLevel="1" x14ac:dyDescent="0.2">
      <c r="C53" s="31" t="s">
        <v>65</v>
      </c>
      <c r="D53" s="38">
        <v>31000</v>
      </c>
      <c r="E53" s="38">
        <v>21000</v>
      </c>
      <c r="F53" s="38">
        <v>21000</v>
      </c>
      <c r="G53" s="38">
        <v>21000</v>
      </c>
      <c r="H53" s="38">
        <v>21000</v>
      </c>
      <c r="I53" s="38">
        <v>28000</v>
      </c>
      <c r="J53" s="38">
        <v>21000</v>
      </c>
      <c r="K53" s="38">
        <v>21000</v>
      </c>
      <c r="L53" s="38">
        <v>21000</v>
      </c>
      <c r="M53" s="38">
        <v>42000</v>
      </c>
      <c r="N53" s="38">
        <v>21000</v>
      </c>
      <c r="O53" s="38">
        <v>40000</v>
      </c>
      <c r="P53" s="42">
        <f t="shared" si="15"/>
        <v>309000</v>
      </c>
      <c r="Q53" s="27">
        <f t="shared" si="20"/>
        <v>25750</v>
      </c>
      <c r="R53" s="28">
        <f t="shared" si="17"/>
        <v>9.1312739502693967E-4</v>
      </c>
    </row>
    <row r="54" spans="3:18" ht="15" hidden="1" customHeight="1" outlineLevel="1" x14ac:dyDescent="0.2">
      <c r="C54" s="31" t="s">
        <v>66</v>
      </c>
      <c r="D54" s="38">
        <v>0</v>
      </c>
      <c r="E54" s="38">
        <v>0</v>
      </c>
      <c r="F54" s="38">
        <v>0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42">
        <f t="shared" si="15"/>
        <v>0</v>
      </c>
      <c r="Q54" s="27">
        <f t="shared" si="20"/>
        <v>0</v>
      </c>
      <c r="R54" s="28">
        <f t="shared" si="17"/>
        <v>0</v>
      </c>
    </row>
    <row r="55" spans="3:18" ht="15" hidden="1" customHeight="1" outlineLevel="1" x14ac:dyDescent="0.2">
      <c r="C55" s="31" t="s">
        <v>67</v>
      </c>
      <c r="D55" s="38">
        <v>0</v>
      </c>
      <c r="E55" s="38">
        <v>0</v>
      </c>
      <c r="F55" s="38">
        <v>0</v>
      </c>
      <c r="G55" s="38">
        <v>0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42">
        <f t="shared" si="15"/>
        <v>0</v>
      </c>
      <c r="Q55" s="27">
        <f t="shared" si="20"/>
        <v>0</v>
      </c>
      <c r="R55" s="28">
        <f t="shared" si="17"/>
        <v>0</v>
      </c>
    </row>
    <row r="56" spans="3:18" ht="15" hidden="1" customHeight="1" outlineLevel="1" x14ac:dyDescent="0.2">
      <c r="C56" s="31" t="s">
        <v>68</v>
      </c>
      <c r="D56" s="38">
        <v>18460</v>
      </c>
      <c r="E56" s="38">
        <v>19660</v>
      </c>
      <c r="F56" s="38">
        <v>19660</v>
      </c>
      <c r="G56" s="38">
        <v>19660</v>
      </c>
      <c r="H56" s="38">
        <v>19660</v>
      </c>
      <c r="I56" s="38">
        <v>19660</v>
      </c>
      <c r="J56" s="38">
        <v>19660</v>
      </c>
      <c r="K56" s="38">
        <v>19660</v>
      </c>
      <c r="L56" s="38">
        <v>19660</v>
      </c>
      <c r="M56" s="38">
        <v>19660</v>
      </c>
      <c r="N56" s="38">
        <v>19660</v>
      </c>
      <c r="O56" s="38">
        <v>39320</v>
      </c>
      <c r="P56" s="42">
        <f t="shared" si="15"/>
        <v>254380</v>
      </c>
      <c r="Q56" s="27">
        <f t="shared" si="20"/>
        <v>21198.333333333332</v>
      </c>
      <c r="R56" s="28">
        <f t="shared" si="17"/>
        <v>7.5171956876036539E-4</v>
      </c>
    </row>
    <row r="57" spans="3:18" ht="15" hidden="1" customHeight="1" outlineLevel="1" x14ac:dyDescent="0.2">
      <c r="C57" s="31" t="s">
        <v>69</v>
      </c>
      <c r="D57" s="38">
        <v>0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410760</v>
      </c>
      <c r="O57" s="38">
        <v>357259</v>
      </c>
      <c r="P57" s="42">
        <f t="shared" si="15"/>
        <v>768019</v>
      </c>
      <c r="Q57" s="27">
        <f t="shared" si="20"/>
        <v>64001.583333333336</v>
      </c>
      <c r="R57" s="28">
        <f t="shared" si="17"/>
        <v>2.2695766627870394E-3</v>
      </c>
    </row>
    <row r="58" spans="3:18" ht="15" hidden="1" customHeight="1" outlineLevel="1" x14ac:dyDescent="0.2">
      <c r="C58" s="31" t="s">
        <v>21</v>
      </c>
      <c r="D58" s="108">
        <v>515278</v>
      </c>
      <c r="E58" s="108">
        <v>462619</v>
      </c>
      <c r="F58" s="108">
        <v>225774</v>
      </c>
      <c r="G58" s="108">
        <v>355311</v>
      </c>
      <c r="H58" s="108">
        <v>660432</v>
      </c>
      <c r="I58" s="108">
        <v>367631</v>
      </c>
      <c r="J58" s="108">
        <v>717712</v>
      </c>
      <c r="K58" s="108">
        <v>1087695</v>
      </c>
      <c r="L58" s="108">
        <v>314880</v>
      </c>
      <c r="M58" s="38">
        <v>674354</v>
      </c>
      <c r="N58" s="38">
        <v>365488</v>
      </c>
      <c r="O58" s="38">
        <v>828650</v>
      </c>
      <c r="P58" s="42">
        <f t="shared" si="15"/>
        <v>6575824</v>
      </c>
      <c r="Q58" s="27">
        <f t="shared" si="20"/>
        <v>547985.33333333337</v>
      </c>
      <c r="R58" s="28">
        <f t="shared" si="17"/>
        <v>1.9432249318044111E-2</v>
      </c>
    </row>
    <row r="59" spans="3:18" ht="15" customHeight="1" collapsed="1" x14ac:dyDescent="0.2">
      <c r="C59" s="29" t="s">
        <v>70</v>
      </c>
      <c r="D59" s="26">
        <f t="shared" ref="D59:O59" si="21">SUM(D60:D65)</f>
        <v>383766</v>
      </c>
      <c r="E59" s="26">
        <f t="shared" si="21"/>
        <v>3986085</v>
      </c>
      <c r="F59" s="26">
        <f t="shared" si="21"/>
        <v>293513</v>
      </c>
      <c r="G59" s="26">
        <f t="shared" si="21"/>
        <v>208513</v>
      </c>
      <c r="H59" s="26">
        <f t="shared" si="21"/>
        <v>3634931</v>
      </c>
      <c r="I59" s="26">
        <f t="shared" si="21"/>
        <v>231766</v>
      </c>
      <c r="J59" s="26">
        <f t="shared" si="21"/>
        <v>231766</v>
      </c>
      <c r="K59" s="26">
        <f t="shared" si="21"/>
        <v>3515515</v>
      </c>
      <c r="L59" s="26">
        <f t="shared" si="21"/>
        <v>231766</v>
      </c>
      <c r="M59" s="26">
        <f t="shared" si="21"/>
        <v>229615</v>
      </c>
      <c r="N59" s="26">
        <f t="shared" si="21"/>
        <v>3659551</v>
      </c>
      <c r="O59" s="26">
        <f t="shared" si="21"/>
        <v>287311</v>
      </c>
      <c r="P59" s="26">
        <f t="shared" si="15"/>
        <v>16894098</v>
      </c>
      <c r="Q59" s="27">
        <f>IF(SUM(D59:O59)=0, 0, AVERAGEIF(D59:O59, "&lt;&gt;0"))</f>
        <v>1407841.5</v>
      </c>
      <c r="R59" s="28">
        <f t="shared" si="17"/>
        <v>4.9923830738090071E-2</v>
      </c>
    </row>
    <row r="60" spans="3:18" ht="15" hidden="1" customHeight="1" outlineLevel="1" x14ac:dyDescent="0.2">
      <c r="C60" s="31" t="s">
        <v>71</v>
      </c>
      <c r="D60" s="38">
        <v>0</v>
      </c>
      <c r="E60" s="38">
        <v>3676967</v>
      </c>
      <c r="F60" s="38">
        <v>0</v>
      </c>
      <c r="G60" s="38">
        <v>0</v>
      </c>
      <c r="H60" s="38">
        <v>3304865</v>
      </c>
      <c r="I60" s="38">
        <v>0</v>
      </c>
      <c r="J60" s="38">
        <v>0</v>
      </c>
      <c r="K60" s="38">
        <v>3178655</v>
      </c>
      <c r="L60" s="38">
        <v>0</v>
      </c>
      <c r="M60" s="38">
        <v>0</v>
      </c>
      <c r="N60" s="38">
        <v>3175090</v>
      </c>
      <c r="O60" s="38">
        <v>0</v>
      </c>
      <c r="P60" s="42">
        <f t="shared" si="15"/>
        <v>13335577</v>
      </c>
      <c r="Q60" s="27">
        <f t="shared" ref="Q60:Q65" si="22">IF(SUM(D60:O60)=0, 0, AVERAGEIF(D60:O60, "&lt;&gt;"))</f>
        <v>1111298.0833333333</v>
      </c>
      <c r="R60" s="28">
        <f t="shared" si="17"/>
        <v>3.9408028113887286E-2</v>
      </c>
    </row>
    <row r="61" spans="3:18" ht="15" hidden="1" customHeight="1" outlineLevel="1" x14ac:dyDescent="0.2">
      <c r="C61" s="31" t="s">
        <v>72</v>
      </c>
      <c r="D61" s="38">
        <v>285466</v>
      </c>
      <c r="E61" s="38">
        <v>309118</v>
      </c>
      <c r="F61" s="38">
        <v>208513</v>
      </c>
      <c r="G61" s="38">
        <v>208513</v>
      </c>
      <c r="H61" s="38">
        <v>231766</v>
      </c>
      <c r="I61" s="38">
        <v>231766</v>
      </c>
      <c r="J61" s="38">
        <v>231766</v>
      </c>
      <c r="K61" s="38">
        <v>238560</v>
      </c>
      <c r="L61" s="38">
        <v>231766</v>
      </c>
      <c r="M61" s="38">
        <v>229615</v>
      </c>
      <c r="N61" s="38">
        <v>386161</v>
      </c>
      <c r="O61" s="38">
        <v>287311</v>
      </c>
      <c r="P61" s="42">
        <f t="shared" si="15"/>
        <v>3080321</v>
      </c>
      <c r="Q61" s="27">
        <f t="shared" si="22"/>
        <v>256693.41666666666</v>
      </c>
      <c r="R61" s="28">
        <f t="shared" si="17"/>
        <v>9.1026714905397335E-3</v>
      </c>
    </row>
    <row r="62" spans="3:18" ht="15" hidden="1" customHeight="1" outlineLevel="1" x14ac:dyDescent="0.2">
      <c r="C62" s="31" t="s">
        <v>73</v>
      </c>
      <c r="D62" s="38">
        <v>0</v>
      </c>
      <c r="E62" s="38">
        <v>0</v>
      </c>
      <c r="F62" s="38">
        <v>85000</v>
      </c>
      <c r="G62" s="38">
        <v>0</v>
      </c>
      <c r="H62" s="38">
        <v>0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38">
        <v>0</v>
      </c>
      <c r="P62" s="42">
        <f t="shared" si="15"/>
        <v>85000</v>
      </c>
      <c r="Q62" s="27">
        <f t="shared" si="22"/>
        <v>7083.333333333333</v>
      </c>
      <c r="R62" s="28">
        <f t="shared" si="17"/>
        <v>2.5118391125336528E-4</v>
      </c>
    </row>
    <row r="63" spans="3:18" ht="15" hidden="1" customHeight="1" outlineLevel="1" x14ac:dyDescent="0.2">
      <c r="C63" s="31" t="s">
        <v>74</v>
      </c>
      <c r="D63" s="38">
        <v>98300</v>
      </c>
      <c r="E63" s="38">
        <v>0</v>
      </c>
      <c r="F63" s="38">
        <v>0</v>
      </c>
      <c r="G63" s="38">
        <v>0</v>
      </c>
      <c r="H63" s="38">
        <v>98300</v>
      </c>
      <c r="I63" s="38">
        <v>0</v>
      </c>
      <c r="J63" s="38">
        <v>0</v>
      </c>
      <c r="K63" s="38">
        <v>98300</v>
      </c>
      <c r="L63" s="38">
        <v>0</v>
      </c>
      <c r="M63" s="38">
        <v>0</v>
      </c>
      <c r="N63" s="38">
        <v>98300</v>
      </c>
      <c r="O63" s="38">
        <v>0</v>
      </c>
      <c r="P63" s="42">
        <f t="shared" si="15"/>
        <v>393200</v>
      </c>
      <c r="Q63" s="27">
        <f t="shared" si="22"/>
        <v>32766.666666666668</v>
      </c>
      <c r="R63" s="28">
        <f t="shared" si="17"/>
        <v>1.161947222409685E-3</v>
      </c>
    </row>
    <row r="64" spans="3:18" ht="15" hidden="1" customHeight="1" outlineLevel="1" x14ac:dyDescent="0.2">
      <c r="C64" s="31" t="s">
        <v>75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42">
        <f t="shared" si="15"/>
        <v>0</v>
      </c>
      <c r="Q64" s="27">
        <f t="shared" si="22"/>
        <v>0</v>
      </c>
      <c r="R64" s="28">
        <f t="shared" si="17"/>
        <v>0</v>
      </c>
    </row>
    <row r="65" spans="3:18" ht="15" hidden="1" customHeight="1" outlineLevel="1" x14ac:dyDescent="0.2">
      <c r="C65" s="31" t="s">
        <v>76</v>
      </c>
      <c r="D65" s="38">
        <v>0</v>
      </c>
      <c r="E65" s="38">
        <v>0</v>
      </c>
      <c r="F65" s="38">
        <v>0</v>
      </c>
      <c r="G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42">
        <f t="shared" si="15"/>
        <v>0</v>
      </c>
      <c r="Q65" s="27">
        <f t="shared" si="22"/>
        <v>0</v>
      </c>
      <c r="R65" s="28">
        <f t="shared" si="17"/>
        <v>0</v>
      </c>
    </row>
    <row r="66" spans="3:18" ht="27.75" customHeight="1" x14ac:dyDescent="0.2">
      <c r="C66" s="43" t="s">
        <v>77</v>
      </c>
      <c r="D66" s="44">
        <f t="shared" ref="D66:O66" si="23">D3-D14</f>
        <v>10875538.304000001</v>
      </c>
      <c r="E66" s="44">
        <f t="shared" si="23"/>
        <v>2958441.9300000034</v>
      </c>
      <c r="F66" s="44">
        <f t="shared" si="23"/>
        <v>8656618.1420000009</v>
      </c>
      <c r="G66" s="44">
        <f t="shared" si="23"/>
        <v>7148419.8940000013</v>
      </c>
      <c r="H66" s="44">
        <f t="shared" si="23"/>
        <v>3907859.9659999982</v>
      </c>
      <c r="I66" s="44">
        <f t="shared" si="23"/>
        <v>6932636.5150000006</v>
      </c>
      <c r="J66" s="44">
        <f t="shared" si="23"/>
        <v>8519586.8729999997</v>
      </c>
      <c r="K66" s="44">
        <f t="shared" si="23"/>
        <v>2242073.2640000023</v>
      </c>
      <c r="L66" s="44">
        <f t="shared" si="23"/>
        <v>8179314.9539999999</v>
      </c>
      <c r="M66" s="44">
        <f t="shared" si="23"/>
        <v>8156038.9904000014</v>
      </c>
      <c r="N66" s="44">
        <f t="shared" si="23"/>
        <v>3994186.7170000002</v>
      </c>
      <c r="O66" s="44">
        <f t="shared" si="23"/>
        <v>1414799.6559999958</v>
      </c>
      <c r="P66" s="44">
        <f t="shared" si="15"/>
        <v>72985515.20539999</v>
      </c>
      <c r="Q66" s="45">
        <f t="shared" ref="Q66:Q72" si="24">IF(SUM(D66:O66)=0, 0, AVERAGEIF(D66:O66, "&lt;&gt;0"))</f>
        <v>6082126.2671166658</v>
      </c>
      <c r="R66" s="46">
        <f t="shared" si="17"/>
        <v>0.21567984910746274</v>
      </c>
    </row>
    <row r="67" spans="3:18" ht="15" customHeight="1" x14ac:dyDescent="0.2">
      <c r="C67" s="43" t="s">
        <v>78</v>
      </c>
      <c r="D67" s="44">
        <f t="shared" ref="D67:O67" si="25">D3-D8</f>
        <v>10875538.304000001</v>
      </c>
      <c r="E67" s="44">
        <f t="shared" si="25"/>
        <v>2958441.9300000034</v>
      </c>
      <c r="F67" s="44">
        <f t="shared" si="25"/>
        <v>8656618.1420000009</v>
      </c>
      <c r="G67" s="44">
        <f t="shared" si="25"/>
        <v>7148419.8940000013</v>
      </c>
      <c r="H67" s="44">
        <f t="shared" si="25"/>
        <v>3907859.9659999982</v>
      </c>
      <c r="I67" s="44">
        <f t="shared" si="25"/>
        <v>6352609.5150000006</v>
      </c>
      <c r="J67" s="44">
        <f t="shared" si="25"/>
        <v>8519586.8729999997</v>
      </c>
      <c r="K67" s="44">
        <f t="shared" si="25"/>
        <v>1442073.2640000023</v>
      </c>
      <c r="L67" s="44">
        <f t="shared" si="25"/>
        <v>6876914.9539999999</v>
      </c>
      <c r="M67" s="44">
        <f t="shared" si="25"/>
        <v>7976038.9904000014</v>
      </c>
      <c r="N67" s="44">
        <f t="shared" si="25"/>
        <v>3994186.7170000002</v>
      </c>
      <c r="O67" s="44">
        <f t="shared" si="25"/>
        <v>1314799.6559999958</v>
      </c>
      <c r="P67" s="44">
        <f t="shared" si="15"/>
        <v>70023088.20539999</v>
      </c>
      <c r="Q67" s="45">
        <f t="shared" si="24"/>
        <v>5835257.3504499989</v>
      </c>
      <c r="R67" s="46">
        <f t="shared" si="17"/>
        <v>0.2069255667467266</v>
      </c>
    </row>
    <row r="68" spans="3:18" ht="15" customHeight="1" x14ac:dyDescent="0.2">
      <c r="C68" s="47" t="s">
        <v>79</v>
      </c>
      <c r="D68" s="48">
        <f t="shared" ref="D68:P68" si="26">IF(D3=0, 0, D66/D3)</f>
        <v>0.33427472025003585</v>
      </c>
      <c r="E68" s="48">
        <f t="shared" si="26"/>
        <v>0.10700609744176995</v>
      </c>
      <c r="F68" s="48">
        <f t="shared" si="26"/>
        <v>0.35269809697761922</v>
      </c>
      <c r="G68" s="48">
        <f t="shared" si="26"/>
        <v>0.27179557013387917</v>
      </c>
      <c r="H68" s="48">
        <f t="shared" si="26"/>
        <v>0.13525520910945044</v>
      </c>
      <c r="I68" s="48">
        <f t="shared" si="26"/>
        <v>0.26453447928214485</v>
      </c>
      <c r="J68" s="48">
        <f t="shared" si="26"/>
        <v>0.29425238130494336</v>
      </c>
      <c r="K68" s="48">
        <f t="shared" si="26"/>
        <v>8.7055526518149545E-2</v>
      </c>
      <c r="L68" s="48">
        <f t="shared" si="26"/>
        <v>0.29859410174104944</v>
      </c>
      <c r="M68" s="48">
        <f t="shared" si="26"/>
        <v>0.27026508305684466</v>
      </c>
      <c r="N68" s="48">
        <f t="shared" si="26"/>
        <v>0.15135104272857972</v>
      </c>
      <c r="O68" s="48">
        <f t="shared" si="26"/>
        <v>4.2104068294981763E-2</v>
      </c>
      <c r="P68" s="48">
        <f t="shared" si="26"/>
        <v>0.21567984910746274</v>
      </c>
      <c r="Q68" s="49">
        <f t="shared" si="24"/>
        <v>0.21743219806995404</v>
      </c>
      <c r="R68" s="46"/>
    </row>
    <row r="69" spans="3:18" ht="15" customHeight="1" x14ac:dyDescent="0.2">
      <c r="C69" s="47" t="s">
        <v>80</v>
      </c>
      <c r="D69" s="48">
        <f t="shared" ref="D69:P69" si="27">IF(D3=0, 0, D23/D3)</f>
        <v>0.24200865207076119</v>
      </c>
      <c r="E69" s="48">
        <f t="shared" si="27"/>
        <v>0.33820438652590823</v>
      </c>
      <c r="F69" s="48">
        <f t="shared" si="27"/>
        <v>0.20196624926751924</v>
      </c>
      <c r="G69" s="48">
        <f t="shared" si="27"/>
        <v>0.29575504552867304</v>
      </c>
      <c r="H69" s="48">
        <f t="shared" si="27"/>
        <v>0.30503204649219001</v>
      </c>
      <c r="I69" s="48">
        <f t="shared" si="27"/>
        <v>0.28367626200089313</v>
      </c>
      <c r="J69" s="48">
        <f t="shared" si="27"/>
        <v>0.29164654743648599</v>
      </c>
      <c r="K69" s="48">
        <f t="shared" si="27"/>
        <v>0.34057629442251369</v>
      </c>
      <c r="L69" s="48">
        <f t="shared" si="27"/>
        <v>0.30003566125474651</v>
      </c>
      <c r="M69" s="48">
        <f t="shared" si="27"/>
        <v>0.32840308091894138</v>
      </c>
      <c r="N69" s="48">
        <f t="shared" si="27"/>
        <v>0.27366556326468572</v>
      </c>
      <c r="O69" s="48">
        <f t="shared" si="27"/>
        <v>0.47839440012898587</v>
      </c>
      <c r="P69" s="48">
        <f t="shared" si="27"/>
        <v>0.30984088441870999</v>
      </c>
      <c r="Q69" s="49">
        <f t="shared" si="24"/>
        <v>0.30661368244269199</v>
      </c>
      <c r="R69" s="46"/>
    </row>
    <row r="70" spans="3:18" ht="15" customHeight="1" outlineLevel="1" x14ac:dyDescent="0.2">
      <c r="C70" s="50" t="s">
        <v>18</v>
      </c>
      <c r="D70" s="51">
        <f t="shared" ref="D70:P70" si="28">IF(D4=0, 0, D24/D4)</f>
        <v>0.32970621804536748</v>
      </c>
      <c r="E70" s="51">
        <f t="shared" si="28"/>
        <v>0.37764235813050873</v>
      </c>
      <c r="F70" s="51">
        <f t="shared" si="28"/>
        <v>0.29590237597219843</v>
      </c>
      <c r="G70" s="51">
        <f t="shared" si="28"/>
        <v>0.34229373022747817</v>
      </c>
      <c r="H70" s="51">
        <f t="shared" si="28"/>
        <v>0.41827427466405759</v>
      </c>
      <c r="I70" s="51">
        <f t="shared" si="28"/>
        <v>0.27955079671800093</v>
      </c>
      <c r="J70" s="51">
        <f t="shared" si="28"/>
        <v>0.33420518241086838</v>
      </c>
      <c r="K70" s="51">
        <f t="shared" si="28"/>
        <v>0.41435678005738902</v>
      </c>
      <c r="L70" s="51">
        <f t="shared" si="28"/>
        <v>0.38592475209995952</v>
      </c>
      <c r="M70" s="51">
        <f t="shared" si="28"/>
        <v>0.37820140235227717</v>
      </c>
      <c r="N70" s="51">
        <f t="shared" si="28"/>
        <v>0.28196554208230862</v>
      </c>
      <c r="O70" s="51">
        <f t="shared" si="28"/>
        <v>0.51770349832193308</v>
      </c>
      <c r="P70" s="51">
        <f t="shared" si="28"/>
        <v>0.36538794143409775</v>
      </c>
      <c r="Q70" s="49">
        <f t="shared" si="24"/>
        <v>0.36297724259019559</v>
      </c>
      <c r="R70" s="52"/>
    </row>
    <row r="71" spans="3:18" ht="15" customHeight="1" outlineLevel="1" x14ac:dyDescent="0.2">
      <c r="C71" s="50" t="s">
        <v>19</v>
      </c>
      <c r="D71" s="51">
        <f t="shared" ref="D71:P71" si="29">IF(D5=0, 0, D25/D5)</f>
        <v>0.24539748068029654</v>
      </c>
      <c r="E71" s="51">
        <f t="shared" si="29"/>
        <v>0.39207555553457907</v>
      </c>
      <c r="F71" s="51">
        <f t="shared" si="29"/>
        <v>0.22246931654114843</v>
      </c>
      <c r="G71" s="51">
        <f t="shared" si="29"/>
        <v>0.29342302589804742</v>
      </c>
      <c r="H71" s="51">
        <f t="shared" si="29"/>
        <v>0.28536294845761467</v>
      </c>
      <c r="I71" s="51">
        <f t="shared" si="29"/>
        <v>0.35729755194053175</v>
      </c>
      <c r="J71" s="51">
        <f t="shared" si="29"/>
        <v>0.30634737206844559</v>
      </c>
      <c r="K71" s="51">
        <f t="shared" si="29"/>
        <v>0.36664783933696915</v>
      </c>
      <c r="L71" s="51">
        <f t="shared" si="29"/>
        <v>0.26157862764972417</v>
      </c>
      <c r="M71" s="51">
        <f t="shared" si="29"/>
        <v>0.28472564949221479</v>
      </c>
      <c r="N71" s="51">
        <f t="shared" si="29"/>
        <v>0.1780453181623495</v>
      </c>
      <c r="O71" s="51">
        <f t="shared" si="29"/>
        <v>0.5007033619118163</v>
      </c>
      <c r="P71" s="51">
        <f t="shared" si="29"/>
        <v>0.31308511706532488</v>
      </c>
      <c r="Q71" s="49">
        <f t="shared" si="24"/>
        <v>0.30783950397281146</v>
      </c>
      <c r="R71" s="52"/>
    </row>
    <row r="72" spans="3:18" ht="15" customHeight="1" outlineLevel="1" x14ac:dyDescent="0.2">
      <c r="C72" s="50" t="s">
        <v>20</v>
      </c>
      <c r="D72" s="51">
        <f t="shared" ref="D72:P72" si="30">IF(D6=0, 0, D26/D6)</f>
        <v>0.16322675282064406</v>
      </c>
      <c r="E72" s="51">
        <f t="shared" si="30"/>
        <v>0.24485989323156743</v>
      </c>
      <c r="F72" s="51">
        <f t="shared" si="30"/>
        <v>0.10807954235903024</v>
      </c>
      <c r="G72" s="51">
        <f t="shared" si="30"/>
        <v>0.25771457639131007</v>
      </c>
      <c r="H72" s="51">
        <f t="shared" si="30"/>
        <v>0.23830352580480327</v>
      </c>
      <c r="I72" s="51">
        <f t="shared" si="30"/>
        <v>0.21340071392993526</v>
      </c>
      <c r="J72" s="51">
        <f t="shared" si="30"/>
        <v>0.24681751540830221</v>
      </c>
      <c r="K72" s="51">
        <f t="shared" si="30"/>
        <v>0.2683145679213072</v>
      </c>
      <c r="L72" s="51">
        <f t="shared" si="30"/>
        <v>0.2805354038947927</v>
      </c>
      <c r="M72" s="51">
        <f t="shared" si="30"/>
        <v>0.34936005973476919</v>
      </c>
      <c r="N72" s="51">
        <f t="shared" si="30"/>
        <v>0.39362645694308218</v>
      </c>
      <c r="O72" s="51">
        <f t="shared" si="30"/>
        <v>0.40645578061181964</v>
      </c>
      <c r="P72" s="51">
        <f t="shared" si="30"/>
        <v>0.26200109720144077</v>
      </c>
      <c r="Q72" s="49">
        <f t="shared" si="24"/>
        <v>0.26422456575428027</v>
      </c>
      <c r="R72" s="52"/>
    </row>
    <row r="73" spans="3:18" ht="15" customHeight="1" x14ac:dyDescent="0.2">
      <c r="C73" s="47" t="s">
        <v>81</v>
      </c>
      <c r="D73" s="107">
        <f>PnL_2024!O71+PnL_2025!D67</f>
        <v>132283404.094</v>
      </c>
      <c r="E73" s="44">
        <f t="shared" ref="E73:O73" si="31">D73+E67</f>
        <v>135241846.02399999</v>
      </c>
      <c r="F73" s="44">
        <f t="shared" si="31"/>
        <v>143898464.16599998</v>
      </c>
      <c r="G73" s="44">
        <f t="shared" si="31"/>
        <v>151046884.05999997</v>
      </c>
      <c r="H73" s="44">
        <f t="shared" si="31"/>
        <v>154954744.02599996</v>
      </c>
      <c r="I73" s="44">
        <f t="shared" si="31"/>
        <v>161307353.54099995</v>
      </c>
      <c r="J73" s="44">
        <f t="shared" si="31"/>
        <v>169826940.41399994</v>
      </c>
      <c r="K73" s="44">
        <f t="shared" si="31"/>
        <v>171269013.67799994</v>
      </c>
      <c r="L73" s="44">
        <f t="shared" si="31"/>
        <v>178145928.63199994</v>
      </c>
      <c r="M73" s="44">
        <f t="shared" si="31"/>
        <v>186121967.62239993</v>
      </c>
      <c r="N73" s="44">
        <f t="shared" si="31"/>
        <v>190116154.33939993</v>
      </c>
      <c r="O73" s="44">
        <f t="shared" si="31"/>
        <v>191430953.99539992</v>
      </c>
      <c r="P73" s="44"/>
      <c r="Q73" s="53"/>
      <c r="R73" s="54"/>
    </row>
  </sheetData>
  <sheetProtection formatCells="0" formatColumns="0" formatRows="0" insertColumns="0" insertRows="0" insertHyperlinks="0"/>
  <pageMargins left="0.7" right="0.7" top="0.75" bottom="0.75" header="0.511811023622047" footer="0.3"/>
  <pageSetup orientation="portrait" horizontalDpi="300" verticalDpi="300"/>
  <headerFooter>
    <oddFooter>&amp;C&amp;10 _x005F_x000d_# Schlumberger-Private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PnL</vt:lpstr>
      <vt:lpstr>PnL_2022</vt:lpstr>
      <vt:lpstr>PnL_2023</vt:lpstr>
      <vt:lpstr>PnL_2024</vt:lpstr>
      <vt:lpstr>PnL_2025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Zhaiyk Daurenbekov</dc:creator>
  <dc:description/>
  <cp:lastModifiedBy>Zhaiyk Daurenbekov</cp:lastModifiedBy>
  <cp:revision>0</cp:revision>
  <dcterms:created xsi:type="dcterms:W3CDTF">2018-07-12T11:38:20Z</dcterms:created>
  <dcterms:modified xsi:type="dcterms:W3CDTF">2026-04-01T00:44:39Z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b759f6-5337-4dc5-b19b-e74b6da11f8f_ContentBits">
    <vt:lpwstr>2</vt:lpwstr>
  </property>
  <property fmtid="{D5CDD505-2E9C-101B-9397-08002B2CF9AE}" pid="3" name="MSIP_Label_8bb759f6-5337-4dc5-b19b-e74b6da11f8f_Enabled">
    <vt:lpwstr>true</vt:lpwstr>
  </property>
  <property fmtid="{D5CDD505-2E9C-101B-9397-08002B2CF9AE}" pid="4" name="MSIP_Label_8bb759f6-5337-4dc5-b19b-e74b6da11f8f_Method">
    <vt:lpwstr>Standard</vt:lpwstr>
  </property>
  <property fmtid="{D5CDD505-2E9C-101B-9397-08002B2CF9AE}" pid="5" name="MSIP_Label_8bb759f6-5337-4dc5-b19b-e74b6da11f8f_Name">
    <vt:lpwstr>8bb759f6-5337-4dc5-b19b-e74b6da11f8f</vt:lpwstr>
  </property>
  <property fmtid="{D5CDD505-2E9C-101B-9397-08002B2CF9AE}" pid="6" name="MSIP_Label_8bb759f6-5337-4dc5-b19b-e74b6da11f8f_SetDate">
    <vt:lpwstr>2022-05-28T13:57:26Z</vt:lpwstr>
  </property>
  <property fmtid="{D5CDD505-2E9C-101B-9397-08002B2CF9AE}" pid="7" name="MSIP_Label_8bb759f6-5337-4dc5-b19b-e74b6da11f8f_SiteId">
    <vt:lpwstr>41ff26dc-250f-4b13-8981-739be8610c21</vt:lpwstr>
  </property>
</Properties>
</file>